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enu Parathe\Desktop\"/>
    </mc:Choice>
  </mc:AlternateContent>
  <xr:revisionPtr revIDLastSave="0" documentId="13_ncr:1_{0A8B8FC6-7578-4183-947B-DACF80FEE8B1}" xr6:coauthVersionLast="47" xr6:coauthVersionMax="47" xr10:uidLastSave="{00000000-0000-0000-0000-000000000000}"/>
  <bookViews>
    <workbookView xWindow="-110" yWindow="-110" windowWidth="19420" windowHeight="10560" tabRatio="500" firstSheet="2" activeTab="4" xr2:uid="{00000000-000D-0000-FFFF-FFFF00000000}"/>
  </bookViews>
  <sheets>
    <sheet name="Beneish M-Score" sheetId="17" r:id="rId1"/>
    <sheet name="Altman Z-Score" sheetId="18" r:id="rId2"/>
    <sheet name="CFS Analysis" sheetId="19" r:id="rId3"/>
    <sheet name="Ratio Analysis" sheetId="20" r:id="rId4"/>
    <sheet name="Financial Data" sheetId="21" r:id="rId5"/>
    <sheet name="Comparative BS" sheetId="11" r:id="rId6"/>
    <sheet name="Comparative P&amp;L" sheetId="12" r:id="rId7"/>
    <sheet name="Common-Size BS" sheetId="13" r:id="rId8"/>
    <sheet name="Common-Size P&amp;L" sheetId="14" r:id="rId9"/>
    <sheet name="Trend Analysis" sheetId="15" r:id="rId10"/>
    <sheet name="Interpretation" sheetId="16" r:id="rId11"/>
    <sheet name="Cover (2)" sheetId="6" r:id="rId12"/>
    <sheet name="Peer Data" sheetId="7" r:id="rId13"/>
    <sheet name="CCA Multiples" sheetId="8" r:id="rId14"/>
    <sheet name="Implied Valuation" sheetId="9" r:id="rId15"/>
    <sheet name="Sources &amp; Notes" sheetId="10" r:id="rId16"/>
    <sheet name="Cover" sheetId="1" r:id="rId17"/>
    <sheet name="Assumptions" sheetId="2" r:id="rId18"/>
    <sheet name="Outputs" sheetId="3" r:id="rId19"/>
    <sheet name="Inputs" sheetId="4" r:id="rId20"/>
    <sheet name="Model" sheetId="5" r:id="rId2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28" i="14" l="1"/>
  <c r="E28" i="14"/>
  <c r="C28" i="14"/>
  <c r="G27" i="14"/>
  <c r="E27" i="14"/>
  <c r="C27" i="14"/>
  <c r="G26" i="14"/>
  <c r="E26" i="14"/>
  <c r="C26" i="14"/>
  <c r="G25" i="14"/>
  <c r="E25" i="14"/>
  <c r="C25" i="14"/>
  <c r="G24" i="14"/>
  <c r="E24" i="14"/>
  <c r="C24" i="14"/>
  <c r="G23" i="14"/>
  <c r="E23" i="14"/>
  <c r="C23" i="14"/>
  <c r="G22" i="14"/>
  <c r="E22" i="14"/>
  <c r="C22" i="14"/>
  <c r="G21" i="14"/>
  <c r="E21" i="14"/>
  <c r="C21" i="14"/>
  <c r="G20" i="14"/>
  <c r="E20" i="14"/>
  <c r="C20" i="14"/>
  <c r="G19" i="14"/>
  <c r="E19" i="14"/>
  <c r="C19" i="14"/>
  <c r="G18" i="14"/>
  <c r="E18" i="14"/>
  <c r="C18" i="14"/>
  <c r="G17" i="14"/>
  <c r="E17" i="14"/>
  <c r="C17" i="14"/>
  <c r="G16" i="14"/>
  <c r="E16" i="14"/>
  <c r="C16" i="14"/>
  <c r="G15" i="14"/>
  <c r="E15" i="14"/>
  <c r="C15" i="14"/>
  <c r="G14" i="14"/>
  <c r="E14" i="14"/>
  <c r="C14" i="14"/>
  <c r="G13" i="14"/>
  <c r="E13" i="14"/>
  <c r="C13" i="14"/>
  <c r="G12" i="14"/>
  <c r="E12" i="14"/>
  <c r="C12" i="14"/>
  <c r="G11" i="14"/>
  <c r="E11" i="14"/>
  <c r="C11" i="14"/>
  <c r="G10" i="14"/>
  <c r="E10" i="14"/>
  <c r="C10" i="14"/>
  <c r="G9" i="14"/>
  <c r="E9" i="14"/>
  <c r="C9" i="14"/>
  <c r="G7" i="14"/>
  <c r="E7" i="14"/>
  <c r="C7" i="14"/>
  <c r="G6" i="14"/>
  <c r="E6" i="14"/>
  <c r="C6" i="14"/>
  <c r="G5" i="14"/>
  <c r="E5" i="14"/>
  <c r="C5" i="14"/>
  <c r="G53" i="13"/>
  <c r="E53" i="13"/>
  <c r="C53" i="13"/>
  <c r="G52" i="13"/>
  <c r="E52" i="13"/>
  <c r="C52" i="13"/>
  <c r="G51" i="13"/>
  <c r="E51" i="13"/>
  <c r="C51" i="13"/>
  <c r="G50" i="13"/>
  <c r="E50" i="13"/>
  <c r="C50" i="13"/>
  <c r="G49" i="13"/>
  <c r="E49" i="13"/>
  <c r="C49" i="13"/>
  <c r="G48" i="13"/>
  <c r="E48" i="13"/>
  <c r="C48" i="13"/>
  <c r="G47" i="13"/>
  <c r="E47" i="13"/>
  <c r="C47" i="13"/>
  <c r="G46" i="13"/>
  <c r="E46" i="13"/>
  <c r="C46" i="13"/>
  <c r="G45" i="13"/>
  <c r="E45" i="13"/>
  <c r="C45" i="13"/>
  <c r="G43" i="13"/>
  <c r="E43" i="13"/>
  <c r="C43" i="13"/>
  <c r="G42" i="13"/>
  <c r="E42" i="13"/>
  <c r="C42" i="13"/>
  <c r="G41" i="13"/>
  <c r="E41" i="13"/>
  <c r="C41" i="13"/>
  <c r="G40" i="13"/>
  <c r="E40" i="13"/>
  <c r="C40" i="13"/>
  <c r="G39" i="13"/>
  <c r="E39" i="13"/>
  <c r="C39" i="13"/>
  <c r="G38" i="13"/>
  <c r="E38" i="13"/>
  <c r="C38" i="13"/>
  <c r="G37" i="13"/>
  <c r="C37" i="13"/>
  <c r="G35" i="13"/>
  <c r="E35" i="13"/>
  <c r="C35" i="13"/>
  <c r="G34" i="13"/>
  <c r="E34" i="13"/>
  <c r="C34" i="13"/>
  <c r="G33" i="13"/>
  <c r="E33" i="13"/>
  <c r="C33" i="13"/>
  <c r="G32" i="13"/>
  <c r="E32" i="13"/>
  <c r="C32" i="13"/>
  <c r="G31" i="13"/>
  <c r="E31" i="13"/>
  <c r="C31" i="13"/>
  <c r="G29" i="13"/>
  <c r="E29" i="13"/>
  <c r="C29" i="13"/>
  <c r="G28" i="13"/>
  <c r="E28" i="13"/>
  <c r="C28" i="13"/>
  <c r="G27" i="13"/>
  <c r="E27" i="13"/>
  <c r="C27" i="13"/>
  <c r="G26" i="13"/>
  <c r="E26" i="13"/>
  <c r="C26" i="13"/>
  <c r="G25" i="13"/>
  <c r="E25" i="13"/>
  <c r="C25" i="13"/>
  <c r="G24" i="13"/>
  <c r="E24" i="13"/>
  <c r="C24" i="13"/>
  <c r="G23" i="13"/>
  <c r="E23" i="13"/>
  <c r="C23" i="13"/>
  <c r="G22" i="13"/>
  <c r="E22" i="13"/>
  <c r="C22" i="13"/>
  <c r="G21" i="13"/>
  <c r="E21" i="13"/>
  <c r="C21" i="13"/>
  <c r="G20" i="13"/>
  <c r="E20" i="13"/>
  <c r="C20" i="13"/>
  <c r="G19" i="13"/>
  <c r="E19" i="13"/>
  <c r="C19" i="13"/>
  <c r="G17" i="13"/>
  <c r="E17" i="13"/>
  <c r="C17" i="13"/>
  <c r="G16" i="13"/>
  <c r="E16" i="13"/>
  <c r="C16" i="13"/>
  <c r="G15" i="13"/>
  <c r="E15" i="13"/>
  <c r="C15" i="13"/>
  <c r="G14" i="13"/>
  <c r="E14" i="13"/>
  <c r="C14" i="13"/>
  <c r="G13" i="13"/>
  <c r="E13" i="13"/>
  <c r="C13" i="13"/>
  <c r="G12" i="13"/>
  <c r="E12" i="13"/>
  <c r="C12" i="13"/>
  <c r="G11" i="13"/>
  <c r="E11" i="13"/>
  <c r="C11" i="13"/>
  <c r="G10" i="13"/>
  <c r="E10" i="13"/>
  <c r="C10" i="13"/>
  <c r="G9" i="13"/>
  <c r="E9" i="13"/>
  <c r="C9" i="13"/>
  <c r="G8" i="13"/>
  <c r="E8" i="13"/>
  <c r="C8" i="13"/>
  <c r="G7" i="13"/>
  <c r="E7" i="13"/>
  <c r="C7" i="13"/>
  <c r="G6" i="13"/>
  <c r="E6" i="13"/>
  <c r="C6" i="13"/>
  <c r="G5" i="13"/>
  <c r="E5" i="13"/>
  <c r="C5" i="13"/>
  <c r="F28" i="12"/>
  <c r="E28" i="12"/>
  <c r="F27" i="12"/>
  <c r="E27" i="12"/>
  <c r="F26" i="12"/>
  <c r="E26" i="12"/>
  <c r="F25" i="12"/>
  <c r="E25" i="12"/>
  <c r="F24" i="12"/>
  <c r="E24" i="12"/>
  <c r="F23" i="12"/>
  <c r="E23" i="12"/>
  <c r="F22" i="12"/>
  <c r="E22" i="12"/>
  <c r="F21" i="12"/>
  <c r="E21" i="12"/>
  <c r="F20" i="12"/>
  <c r="E20" i="12"/>
  <c r="F19" i="12"/>
  <c r="E19" i="12"/>
  <c r="F18" i="12"/>
  <c r="E18" i="12"/>
  <c r="F17" i="12"/>
  <c r="E17" i="12"/>
  <c r="F16" i="12"/>
  <c r="E16" i="12"/>
  <c r="F15" i="12"/>
  <c r="E15" i="12"/>
  <c r="F14" i="12"/>
  <c r="E14" i="12"/>
  <c r="F13" i="12"/>
  <c r="E13" i="12"/>
  <c r="F12" i="12"/>
  <c r="E12" i="12"/>
  <c r="F11" i="12"/>
  <c r="E11" i="12"/>
  <c r="F10" i="12"/>
  <c r="E10" i="12"/>
  <c r="F9" i="12"/>
  <c r="E9" i="12"/>
  <c r="F7" i="12"/>
  <c r="E7" i="12"/>
  <c r="F6" i="12"/>
  <c r="E6" i="12"/>
  <c r="F5" i="12"/>
  <c r="E5" i="12"/>
  <c r="F53" i="11"/>
  <c r="E53" i="11"/>
  <c r="F52" i="11"/>
  <c r="E52" i="11"/>
  <c r="F51" i="11"/>
  <c r="E51" i="11"/>
  <c r="F50" i="11"/>
  <c r="E50" i="11"/>
  <c r="F49" i="11"/>
  <c r="E49" i="11"/>
  <c r="F48" i="11"/>
  <c r="E48" i="11"/>
  <c r="F47" i="11"/>
  <c r="E47" i="11"/>
  <c r="F46" i="11"/>
  <c r="E46" i="11"/>
  <c r="F45" i="11"/>
  <c r="E45" i="11"/>
  <c r="F43" i="11"/>
  <c r="E43" i="11"/>
  <c r="F42" i="11"/>
  <c r="E42" i="11"/>
  <c r="F41" i="11"/>
  <c r="E41" i="11"/>
  <c r="F40" i="11"/>
  <c r="E40" i="11"/>
  <c r="F39" i="11"/>
  <c r="E39" i="11"/>
  <c r="F38" i="11"/>
  <c r="E38" i="11"/>
  <c r="F37" i="11"/>
  <c r="E37" i="11"/>
  <c r="F35" i="11"/>
  <c r="E35" i="11"/>
  <c r="F34" i="11"/>
  <c r="E34" i="11"/>
  <c r="F33" i="11"/>
  <c r="E33" i="11"/>
  <c r="F32" i="11"/>
  <c r="E32" i="11"/>
  <c r="F31" i="11"/>
  <c r="E31" i="11"/>
  <c r="F29" i="11"/>
  <c r="E29" i="11"/>
  <c r="F28" i="11"/>
  <c r="E28" i="11"/>
  <c r="F27" i="11"/>
  <c r="E27" i="11"/>
  <c r="F26" i="11"/>
  <c r="E26" i="11"/>
  <c r="F25" i="11"/>
  <c r="E25" i="11"/>
  <c r="F24" i="11"/>
  <c r="E24" i="11"/>
  <c r="F23" i="11"/>
  <c r="E23" i="11"/>
  <c r="F22" i="11"/>
  <c r="E22" i="11"/>
  <c r="F21" i="11"/>
  <c r="E21" i="11"/>
  <c r="F20" i="11"/>
  <c r="E20" i="11"/>
  <c r="F19" i="11"/>
  <c r="E19" i="11"/>
  <c r="F17" i="11"/>
  <c r="E17" i="11"/>
  <c r="F16" i="11"/>
  <c r="E16" i="11"/>
  <c r="F15" i="11"/>
  <c r="E15" i="11"/>
  <c r="F14" i="11"/>
  <c r="E14" i="11"/>
  <c r="F13" i="11"/>
  <c r="E13" i="11"/>
  <c r="F12" i="11"/>
  <c r="E12" i="11"/>
  <c r="F11" i="11"/>
  <c r="E11" i="11"/>
  <c r="F10" i="11"/>
  <c r="E10" i="11"/>
  <c r="F9" i="11"/>
  <c r="E9" i="11"/>
  <c r="F8" i="11"/>
  <c r="E8" i="11"/>
  <c r="F7" i="11"/>
  <c r="E7" i="11"/>
  <c r="F6" i="11"/>
  <c r="E6" i="11"/>
  <c r="F5" i="11"/>
  <c r="E5" i="11"/>
  <c r="C12" i="9"/>
  <c r="C26" i="9" s="1"/>
  <c r="C11" i="9"/>
  <c r="C8" i="9"/>
  <c r="C7" i="9"/>
  <c r="C6" i="9"/>
  <c r="E11" i="8"/>
  <c r="B11" i="8"/>
  <c r="B10" i="8"/>
  <c r="B9" i="8"/>
  <c r="B8" i="8"/>
  <c r="F7" i="8"/>
  <c r="B7" i="8"/>
  <c r="N10" i="7"/>
  <c r="M10" i="7"/>
  <c r="D11" i="8" s="1"/>
  <c r="L10" i="7"/>
  <c r="J10" i="7"/>
  <c r="F11" i="8" s="1"/>
  <c r="N9" i="7"/>
  <c r="L9" i="7"/>
  <c r="M9" i="7" s="1"/>
  <c r="J9" i="7"/>
  <c r="F10" i="8" s="1"/>
  <c r="N8" i="7"/>
  <c r="F9" i="8" s="1"/>
  <c r="L8" i="7"/>
  <c r="M8" i="7" s="1"/>
  <c r="J8" i="7"/>
  <c r="N7" i="7"/>
  <c r="M7" i="7"/>
  <c r="D8" i="8" s="1"/>
  <c r="L7" i="7"/>
  <c r="J7" i="7"/>
  <c r="N6" i="7"/>
  <c r="C9" i="9" s="1"/>
  <c r="L6" i="7"/>
  <c r="C10" i="9" s="1"/>
  <c r="K6" i="7"/>
  <c r="M6" i="7" s="1"/>
  <c r="L430" i="5"/>
  <c r="G75" i="3" s="1"/>
  <c r="J430" i="5"/>
  <c r="F75" i="3" s="1"/>
  <c r="H430" i="5"/>
  <c r="E75" i="3" s="1"/>
  <c r="F430" i="5"/>
  <c r="D430" i="5"/>
  <c r="F422" i="5"/>
  <c r="F35" i="3" s="1"/>
  <c r="F416" i="5"/>
  <c r="F414" i="5"/>
  <c r="F413" i="5"/>
  <c r="F412" i="5"/>
  <c r="K358" i="5"/>
  <c r="D330" i="5"/>
  <c r="D329" i="5"/>
  <c r="D328" i="5"/>
  <c r="O322" i="5"/>
  <c r="N322" i="5"/>
  <c r="M322" i="5"/>
  <c r="L322" i="5"/>
  <c r="K322" i="5"/>
  <c r="J322" i="5"/>
  <c r="I322" i="5"/>
  <c r="H322" i="5"/>
  <c r="G322" i="5"/>
  <c r="F322" i="5"/>
  <c r="K310" i="5"/>
  <c r="K304" i="5"/>
  <c r="K306" i="5" s="1"/>
  <c r="O298" i="5"/>
  <c r="N298" i="5"/>
  <c r="M298" i="5"/>
  <c r="L298" i="5"/>
  <c r="K298" i="5"/>
  <c r="J298" i="5"/>
  <c r="I298" i="5"/>
  <c r="H298" i="5"/>
  <c r="G298" i="5"/>
  <c r="F298" i="5"/>
  <c r="D284" i="5"/>
  <c r="K280" i="5"/>
  <c r="O272" i="5"/>
  <c r="N272" i="5"/>
  <c r="M272" i="5"/>
  <c r="L272" i="5"/>
  <c r="K272" i="5"/>
  <c r="O263" i="5"/>
  <c r="N263" i="5"/>
  <c r="M263" i="5"/>
  <c r="L263" i="5"/>
  <c r="K263" i="5"/>
  <c r="J263" i="5"/>
  <c r="I263" i="5"/>
  <c r="H263" i="5"/>
  <c r="G263" i="5"/>
  <c r="F263" i="5"/>
  <c r="O256" i="5"/>
  <c r="N256" i="5"/>
  <c r="M256" i="5"/>
  <c r="L256" i="5"/>
  <c r="K256" i="5"/>
  <c r="K252" i="5"/>
  <c r="K254" i="5" s="1"/>
  <c r="D246" i="5"/>
  <c r="K242" i="5"/>
  <c r="O236" i="5"/>
  <c r="N236" i="5"/>
  <c r="M236" i="5"/>
  <c r="L236" i="5"/>
  <c r="K236" i="5"/>
  <c r="J236" i="5"/>
  <c r="I236" i="5"/>
  <c r="H236" i="5"/>
  <c r="G236" i="5"/>
  <c r="F236" i="5"/>
  <c r="D217" i="5"/>
  <c r="N212" i="5"/>
  <c r="N224" i="5" s="1"/>
  <c r="M212" i="5"/>
  <c r="M224" i="5" s="1"/>
  <c r="K212" i="5"/>
  <c r="K224" i="5" s="1"/>
  <c r="O211" i="5"/>
  <c r="N211" i="5"/>
  <c r="M211" i="5"/>
  <c r="L211" i="5"/>
  <c r="K211" i="5"/>
  <c r="D210" i="5"/>
  <c r="J204" i="5"/>
  <c r="I204" i="5"/>
  <c r="H204" i="5"/>
  <c r="H203" i="5" s="1"/>
  <c r="H56" i="5" s="1"/>
  <c r="H57" i="5" s="1"/>
  <c r="H23" i="3" s="1"/>
  <c r="G204" i="5"/>
  <c r="F204" i="5"/>
  <c r="F203" i="5" s="1"/>
  <c r="F56" i="5" s="1"/>
  <c r="F57" i="5" s="1"/>
  <c r="F23" i="3" s="1"/>
  <c r="I203" i="5"/>
  <c r="I56" i="5" s="1"/>
  <c r="I57" i="5" s="1"/>
  <c r="I23" i="3" s="1"/>
  <c r="K202" i="5"/>
  <c r="J202" i="5"/>
  <c r="J203" i="5" s="1"/>
  <c r="J56" i="5" s="1"/>
  <c r="J57" i="5" s="1"/>
  <c r="I202" i="5"/>
  <c r="H202" i="5"/>
  <c r="G202" i="5"/>
  <c r="O196" i="5"/>
  <c r="N196" i="5"/>
  <c r="M196" i="5"/>
  <c r="L196" i="5"/>
  <c r="K196" i="5"/>
  <c r="J196" i="5"/>
  <c r="I196" i="5"/>
  <c r="H196" i="5"/>
  <c r="G196" i="5"/>
  <c r="F196" i="5"/>
  <c r="J189" i="5"/>
  <c r="I189" i="5"/>
  <c r="H189" i="5"/>
  <c r="G189" i="5"/>
  <c r="F189" i="5"/>
  <c r="O188" i="5"/>
  <c r="N188" i="5"/>
  <c r="M188" i="5"/>
  <c r="L188" i="5"/>
  <c r="K188" i="5"/>
  <c r="J188" i="5"/>
  <c r="I188" i="5"/>
  <c r="H188" i="5"/>
  <c r="G188" i="5"/>
  <c r="F188" i="5"/>
  <c r="J185" i="5"/>
  <c r="I185" i="5"/>
  <c r="H185" i="5"/>
  <c r="G185" i="5"/>
  <c r="F185" i="5"/>
  <c r="O184" i="5"/>
  <c r="N184" i="5"/>
  <c r="M184" i="5"/>
  <c r="L184" i="5"/>
  <c r="K184" i="5"/>
  <c r="J184" i="5"/>
  <c r="I184" i="5"/>
  <c r="H184" i="5"/>
  <c r="G184" i="5"/>
  <c r="F184" i="5"/>
  <c r="J182" i="5"/>
  <c r="I182" i="5"/>
  <c r="H182" i="5"/>
  <c r="G182" i="5"/>
  <c r="F182" i="5"/>
  <c r="O181" i="5"/>
  <c r="N181" i="5"/>
  <c r="M181" i="5"/>
  <c r="L181" i="5"/>
  <c r="K181" i="5"/>
  <c r="J181" i="5"/>
  <c r="I181" i="5"/>
  <c r="H181" i="5"/>
  <c r="G181" i="5"/>
  <c r="F181" i="5"/>
  <c r="O175" i="5"/>
  <c r="N175" i="5"/>
  <c r="M175" i="5"/>
  <c r="L175" i="5"/>
  <c r="K175" i="5"/>
  <c r="J175" i="5"/>
  <c r="I175" i="5"/>
  <c r="H175" i="5"/>
  <c r="G175" i="5"/>
  <c r="F175" i="5"/>
  <c r="L150" i="5"/>
  <c r="O144" i="5"/>
  <c r="N144" i="5"/>
  <c r="M144" i="5"/>
  <c r="L144" i="5"/>
  <c r="K144" i="5"/>
  <c r="J144" i="5"/>
  <c r="I144" i="5"/>
  <c r="H144" i="5"/>
  <c r="G144" i="5"/>
  <c r="F144" i="5"/>
  <c r="O133" i="5"/>
  <c r="N133" i="5"/>
  <c r="M133" i="5"/>
  <c r="L133" i="5"/>
  <c r="K133" i="5"/>
  <c r="K134" i="5" s="1"/>
  <c r="J128" i="5"/>
  <c r="I128" i="5"/>
  <c r="H128" i="5"/>
  <c r="G128" i="5"/>
  <c r="F128" i="5"/>
  <c r="J126" i="5"/>
  <c r="I126" i="5"/>
  <c r="H126" i="5"/>
  <c r="G126" i="5"/>
  <c r="O120" i="5"/>
  <c r="N120" i="5"/>
  <c r="M120" i="5"/>
  <c r="L120" i="5"/>
  <c r="K120" i="5"/>
  <c r="J120" i="5"/>
  <c r="I120" i="5"/>
  <c r="H120" i="5"/>
  <c r="G120" i="5"/>
  <c r="F120" i="5"/>
  <c r="J108" i="5"/>
  <c r="I108" i="5"/>
  <c r="H108" i="5"/>
  <c r="G108" i="5"/>
  <c r="F108" i="5"/>
  <c r="F101" i="5"/>
  <c r="F111" i="5" s="1"/>
  <c r="J97" i="5"/>
  <c r="J101" i="5" s="1"/>
  <c r="J111" i="5" s="1"/>
  <c r="I97" i="5"/>
  <c r="I101" i="5" s="1"/>
  <c r="I111" i="5" s="1"/>
  <c r="H97" i="5"/>
  <c r="H101" i="5" s="1"/>
  <c r="H111" i="5" s="1"/>
  <c r="G97" i="5"/>
  <c r="G101" i="5" s="1"/>
  <c r="G111" i="5" s="1"/>
  <c r="F97" i="5"/>
  <c r="G90" i="5"/>
  <c r="O89" i="5"/>
  <c r="N89" i="5"/>
  <c r="M89" i="5"/>
  <c r="L89" i="5"/>
  <c r="K89" i="5"/>
  <c r="J85" i="5"/>
  <c r="J90" i="5" s="1"/>
  <c r="I85" i="5"/>
  <c r="I90" i="5" s="1"/>
  <c r="H85" i="5"/>
  <c r="H90" i="5" s="1"/>
  <c r="G85" i="5"/>
  <c r="F85" i="5"/>
  <c r="F90" i="5" s="1"/>
  <c r="B78" i="5"/>
  <c r="J71" i="5"/>
  <c r="I71" i="5"/>
  <c r="H71" i="5"/>
  <c r="G71" i="5"/>
  <c r="F71" i="5"/>
  <c r="K69" i="5"/>
  <c r="J69" i="5"/>
  <c r="I69" i="5"/>
  <c r="H69" i="5"/>
  <c r="G69" i="5"/>
  <c r="I65" i="5"/>
  <c r="I24" i="3" s="1"/>
  <c r="J61" i="5"/>
  <c r="J65" i="5" s="1"/>
  <c r="J24" i="3" s="1"/>
  <c r="I61" i="5"/>
  <c r="H61" i="5"/>
  <c r="H65" i="5" s="1"/>
  <c r="H24" i="3" s="1"/>
  <c r="G61" i="5"/>
  <c r="G65" i="5" s="1"/>
  <c r="G24" i="3" s="1"/>
  <c r="F61" i="5"/>
  <c r="F65" i="5" s="1"/>
  <c r="F24" i="3" s="1"/>
  <c r="J51" i="5"/>
  <c r="I51" i="5"/>
  <c r="H51" i="5"/>
  <c r="G51" i="5"/>
  <c r="F51" i="5"/>
  <c r="J50" i="5"/>
  <c r="I50" i="5"/>
  <c r="H50" i="5"/>
  <c r="G50" i="5"/>
  <c r="F50" i="5"/>
  <c r="J49" i="5"/>
  <c r="I49" i="5"/>
  <c r="H49" i="5"/>
  <c r="G49" i="5"/>
  <c r="F49" i="5"/>
  <c r="J48" i="5"/>
  <c r="I48" i="5"/>
  <c r="H48" i="5"/>
  <c r="G48" i="5"/>
  <c r="F48" i="5"/>
  <c r="J47" i="5"/>
  <c r="I47" i="5"/>
  <c r="H47" i="5"/>
  <c r="G47" i="5"/>
  <c r="F47" i="5"/>
  <c r="B42" i="5"/>
  <c r="J32" i="5"/>
  <c r="I32" i="5"/>
  <c r="H32" i="5"/>
  <c r="G32" i="5"/>
  <c r="F32" i="5"/>
  <c r="G19" i="5"/>
  <c r="G14" i="3" s="1"/>
  <c r="H18" i="5"/>
  <c r="H22" i="5" s="1"/>
  <c r="H27" i="5" s="1"/>
  <c r="H35" i="5" s="1"/>
  <c r="J13" i="5"/>
  <c r="J18" i="5" s="1"/>
  <c r="J22" i="5" s="1"/>
  <c r="J27" i="5" s="1"/>
  <c r="J35" i="5" s="1"/>
  <c r="I13" i="5"/>
  <c r="I18" i="5" s="1"/>
  <c r="I22" i="5" s="1"/>
  <c r="I27" i="5" s="1"/>
  <c r="I35" i="5" s="1"/>
  <c r="H13" i="5"/>
  <c r="G13" i="5"/>
  <c r="G18" i="5" s="1"/>
  <c r="D43" i="3" s="1"/>
  <c r="F13" i="5"/>
  <c r="F18" i="5" s="1"/>
  <c r="B6" i="5"/>
  <c r="L60" i="4"/>
  <c r="L62" i="4" s="1"/>
  <c r="L59" i="4"/>
  <c r="L58" i="4"/>
  <c r="L57" i="4"/>
  <c r="L24" i="4"/>
  <c r="K24" i="4"/>
  <c r="J24" i="4"/>
  <c r="I24" i="4"/>
  <c r="H24" i="4"/>
  <c r="L17" i="4"/>
  <c r="O150" i="5" s="1"/>
  <c r="K17" i="4"/>
  <c r="N150" i="5" s="1"/>
  <c r="J17" i="4"/>
  <c r="M150" i="5" s="1"/>
  <c r="I17" i="4"/>
  <c r="H17" i="4"/>
  <c r="K150" i="5" s="1"/>
  <c r="L10" i="4"/>
  <c r="O126" i="5" s="1"/>
  <c r="K10" i="4"/>
  <c r="N126" i="5" s="1"/>
  <c r="J10" i="4"/>
  <c r="M126" i="5" s="1"/>
  <c r="M136" i="5" s="1"/>
  <c r="I10" i="4"/>
  <c r="L126" i="5" s="1"/>
  <c r="L136" i="5" s="1"/>
  <c r="H10" i="4"/>
  <c r="K126" i="5" s="1"/>
  <c r="K136" i="5" s="1"/>
  <c r="K137" i="5" s="1"/>
  <c r="L137" i="5" s="1"/>
  <c r="M137" i="5" s="1"/>
  <c r="D75" i="3"/>
  <c r="C75" i="3"/>
  <c r="B75" i="3"/>
  <c r="C64" i="3"/>
  <c r="C63" i="3"/>
  <c r="C62" i="3"/>
  <c r="C46" i="3"/>
  <c r="C45" i="3"/>
  <c r="C44" i="3"/>
  <c r="C43" i="3"/>
  <c r="C42" i="3"/>
  <c r="F31" i="3"/>
  <c r="J23" i="3"/>
  <c r="H13" i="3"/>
  <c r="J11" i="3"/>
  <c r="I11" i="3"/>
  <c r="H11" i="3"/>
  <c r="G11" i="3"/>
  <c r="F11" i="3"/>
  <c r="F7" i="3"/>
  <c r="N136" i="5" l="1"/>
  <c r="O136" i="5"/>
  <c r="C69" i="3"/>
  <c r="K285" i="5"/>
  <c r="K291" i="5" s="1"/>
  <c r="L61" i="4"/>
  <c r="L63" i="4" s="1"/>
  <c r="N137" i="5"/>
  <c r="O137" i="5" s="1"/>
  <c r="I114" i="5"/>
  <c r="F114" i="5"/>
  <c r="G203" i="5"/>
  <c r="G56" i="5" s="1"/>
  <c r="G57" i="5" s="1"/>
  <c r="G23" i="3" s="1"/>
  <c r="F8" i="8"/>
  <c r="F16" i="8" s="1"/>
  <c r="F17" i="9" s="1"/>
  <c r="L212" i="5"/>
  <c r="L224" i="5" s="1"/>
  <c r="G114" i="5"/>
  <c r="D44" i="3"/>
  <c r="O212" i="5"/>
  <c r="O224" i="5" s="1"/>
  <c r="E8" i="8"/>
  <c r="D9" i="8"/>
  <c r="C9" i="8"/>
  <c r="E9" i="8"/>
  <c r="E16" i="8" s="1"/>
  <c r="E17" i="9" s="1"/>
  <c r="D10" i="8"/>
  <c r="D16" i="8" s="1"/>
  <c r="D17" i="9" s="1"/>
  <c r="C10" i="8"/>
  <c r="E10" i="8"/>
  <c r="E7" i="8"/>
  <c r="D7" i="8"/>
  <c r="C7" i="8"/>
  <c r="D15" i="8"/>
  <c r="D16" i="9" s="1"/>
  <c r="D14" i="8"/>
  <c r="D15" i="9" s="1"/>
  <c r="C8" i="8"/>
  <c r="E15" i="8"/>
  <c r="E16" i="9" s="1"/>
  <c r="C11" i="8"/>
  <c r="J16" i="3"/>
  <c r="E46" i="3"/>
  <c r="J46" i="5"/>
  <c r="J52" i="5" s="1"/>
  <c r="J36" i="5"/>
  <c r="J17" i="3" s="1"/>
  <c r="I46" i="5"/>
  <c r="I52" i="5" s="1"/>
  <c r="E45" i="3"/>
  <c r="I16" i="3"/>
  <c r="I36" i="5"/>
  <c r="I17" i="3" s="1"/>
  <c r="H36" i="5"/>
  <c r="H17" i="3" s="1"/>
  <c r="H46" i="5"/>
  <c r="H52" i="5" s="1"/>
  <c r="H16" i="3"/>
  <c r="E44" i="3"/>
  <c r="F150" i="5"/>
  <c r="D42" i="3"/>
  <c r="F22" i="5"/>
  <c r="F27" i="5" s="1"/>
  <c r="F35" i="5" s="1"/>
  <c r="F19" i="5"/>
  <c r="F14" i="3" s="1"/>
  <c r="F13" i="3"/>
  <c r="H114" i="5"/>
  <c r="J114" i="5"/>
  <c r="K128" i="5"/>
  <c r="L134" i="5"/>
  <c r="K257" i="5"/>
  <c r="K290" i="5" s="1"/>
  <c r="K292" i="5" s="1"/>
  <c r="K25" i="5" s="1"/>
  <c r="L252" i="5"/>
  <c r="K100" i="5"/>
  <c r="K61" i="5" s="1"/>
  <c r="G22" i="5"/>
  <c r="G27" i="5" s="1"/>
  <c r="G35" i="5" s="1"/>
  <c r="G150" i="5"/>
  <c r="I19" i="5"/>
  <c r="I14" i="3" s="1"/>
  <c r="I13" i="3"/>
  <c r="I150" i="5"/>
  <c r="D45" i="3"/>
  <c r="G13" i="3"/>
  <c r="L304" i="5"/>
  <c r="L306" i="5" s="1"/>
  <c r="K106" i="5"/>
  <c r="B237" i="5"/>
  <c r="B145" i="5"/>
  <c r="B121" i="5"/>
  <c r="B299" i="5"/>
  <c r="B323" i="5"/>
  <c r="B264" i="5"/>
  <c r="B176" i="5"/>
  <c r="B379" i="5"/>
  <c r="B197" i="5"/>
  <c r="J19" i="5"/>
  <c r="J14" i="3" s="1"/>
  <c r="D46" i="3"/>
  <c r="J13" i="3"/>
  <c r="J150" i="5"/>
  <c r="H150" i="5"/>
  <c r="K247" i="5"/>
  <c r="K269" i="5"/>
  <c r="H19" i="5"/>
  <c r="H14" i="3" s="1"/>
  <c r="B435" i="5" l="1"/>
  <c r="B433" i="5"/>
  <c r="B431" i="5"/>
  <c r="L396" i="5"/>
  <c r="O396" i="5"/>
  <c r="M396" i="5"/>
  <c r="B434" i="5"/>
  <c r="N396" i="5"/>
  <c r="F30" i="3"/>
  <c r="B432" i="5"/>
  <c r="K396" i="5"/>
  <c r="F15" i="8"/>
  <c r="F16" i="9" s="1"/>
  <c r="F14" i="8"/>
  <c r="F15" i="9" s="1"/>
  <c r="F17" i="8"/>
  <c r="F18" i="9" s="1"/>
  <c r="D17" i="8"/>
  <c r="D18" i="9" s="1"/>
  <c r="E14" i="8"/>
  <c r="E15" i="9" s="1"/>
  <c r="E17" i="8"/>
  <c r="E18" i="9" s="1"/>
  <c r="C14" i="8"/>
  <c r="C15" i="9" s="1"/>
  <c r="C16" i="8"/>
  <c r="C17" i="9" s="1"/>
  <c r="G17" i="9" s="1"/>
  <c r="C15" i="8"/>
  <c r="C16" i="9" s="1"/>
  <c r="C17" i="8"/>
  <c r="C18" i="9" s="1"/>
  <c r="G18" i="9" s="1"/>
  <c r="H22" i="3"/>
  <c r="H70" i="5"/>
  <c r="H25" i="3" s="1"/>
  <c r="B77" i="3"/>
  <c r="M134" i="5"/>
  <c r="L128" i="5"/>
  <c r="G36" i="5"/>
  <c r="G17" i="3" s="1"/>
  <c r="G46" i="5"/>
  <c r="G52" i="5" s="1"/>
  <c r="G16" i="3"/>
  <c r="E43" i="3"/>
  <c r="F36" i="5"/>
  <c r="F17" i="3" s="1"/>
  <c r="F46" i="5"/>
  <c r="F52" i="5" s="1"/>
  <c r="F16" i="3"/>
  <c r="E42" i="3"/>
  <c r="B76" i="3"/>
  <c r="B79" i="3"/>
  <c r="M304" i="5"/>
  <c r="M306" i="5" s="1"/>
  <c r="L106" i="5"/>
  <c r="I70" i="5"/>
  <c r="I25" i="3" s="1"/>
  <c r="I22" i="3"/>
  <c r="J70" i="5"/>
  <c r="J25" i="3" s="1"/>
  <c r="J22" i="3"/>
  <c r="B78" i="3"/>
  <c r="K189" i="5"/>
  <c r="K95" i="5" s="1"/>
  <c r="K155" i="5"/>
  <c r="K182" i="5"/>
  <c r="K203" i="5"/>
  <c r="K185" i="5"/>
  <c r="K84" i="5" s="1"/>
  <c r="K50" i="5" s="1"/>
  <c r="K11" i="5"/>
  <c r="L254" i="5"/>
  <c r="L257" i="5"/>
  <c r="L290" i="5" s="1"/>
  <c r="B80" i="3"/>
  <c r="G16" i="9" l="1"/>
  <c r="C23" i="9"/>
  <c r="G15" i="9"/>
  <c r="C24" i="9" s="1"/>
  <c r="C27" i="9" s="1"/>
  <c r="C22" i="9"/>
  <c r="N304" i="5"/>
  <c r="N306" i="5" s="1"/>
  <c r="M106" i="5"/>
  <c r="M252" i="5"/>
  <c r="L100" i="5"/>
  <c r="L61" i="5" s="1"/>
  <c r="L189" i="5"/>
  <c r="L95" i="5" s="1"/>
  <c r="L155" i="5"/>
  <c r="L182" i="5"/>
  <c r="L203" i="5"/>
  <c r="L185" i="5"/>
  <c r="L84" i="5" s="1"/>
  <c r="L50" i="5" s="1"/>
  <c r="L11" i="5"/>
  <c r="M128" i="5"/>
  <c r="N134" i="5"/>
  <c r="F22" i="3"/>
  <c r="F70" i="5"/>
  <c r="F25" i="3" s="1"/>
  <c r="K88" i="5"/>
  <c r="K11" i="3"/>
  <c r="K26" i="5"/>
  <c r="C47" i="3"/>
  <c r="K83" i="5"/>
  <c r="K49" i="5" s="1"/>
  <c r="K389" i="5"/>
  <c r="K162" i="5"/>
  <c r="K161" i="5"/>
  <c r="K163" i="5"/>
  <c r="K17" i="5" s="1"/>
  <c r="K51" i="5"/>
  <c r="K218" i="5"/>
  <c r="K219" i="5" s="1"/>
  <c r="K225" i="5" s="1"/>
  <c r="K226" i="5" s="1"/>
  <c r="K388" i="5"/>
  <c r="K56" i="5"/>
  <c r="K57" i="5" s="1"/>
  <c r="K359" i="5"/>
  <c r="G70" i="5"/>
  <c r="G25" i="3" s="1"/>
  <c r="G22" i="3"/>
  <c r="L388" i="5" l="1"/>
  <c r="L359" i="5"/>
  <c r="L218" i="5"/>
  <c r="L219" i="5" s="1"/>
  <c r="L225" i="5" s="1"/>
  <c r="L226" i="5" s="1"/>
  <c r="L56" i="5"/>
  <c r="K360" i="5"/>
  <c r="K337" i="5" s="1"/>
  <c r="L83" i="5"/>
  <c r="L49" i="5" s="1"/>
  <c r="L389" i="5"/>
  <c r="K387" i="5"/>
  <c r="K21" i="5"/>
  <c r="K48" i="5" s="1"/>
  <c r="K204" i="5"/>
  <c r="K205" i="5" s="1"/>
  <c r="K336" i="5"/>
  <c r="M254" i="5"/>
  <c r="M257" i="5" s="1"/>
  <c r="M290" i="5" s="1"/>
  <c r="K271" i="5"/>
  <c r="K23" i="3"/>
  <c r="L162" i="5"/>
  <c r="L161" i="5"/>
  <c r="L163" i="5"/>
  <c r="L17" i="5" s="1"/>
  <c r="N128" i="5"/>
  <c r="O134" i="5"/>
  <c r="O128" i="5" s="1"/>
  <c r="N106" i="5"/>
  <c r="O304" i="5"/>
  <c r="O306" i="5" s="1"/>
  <c r="O106" i="5" s="1"/>
  <c r="L88" i="5"/>
  <c r="C48" i="3"/>
  <c r="L26" i="5"/>
  <c r="L11" i="3"/>
  <c r="L51" i="5"/>
  <c r="K168" i="5"/>
  <c r="K12" i="5"/>
  <c r="K13" i="5" s="1"/>
  <c r="K169" i="5"/>
  <c r="K16" i="5"/>
  <c r="M189" i="5"/>
  <c r="M95" i="5" s="1"/>
  <c r="M155" i="5"/>
  <c r="M182" i="5"/>
  <c r="M203" i="5"/>
  <c r="M185" i="5"/>
  <c r="M84" i="5" s="1"/>
  <c r="M50" i="5" s="1"/>
  <c r="M11" i="5"/>
  <c r="L202" i="5" l="1"/>
  <c r="K87" i="5"/>
  <c r="K361" i="5"/>
  <c r="L358" i="5" s="1"/>
  <c r="L169" i="5"/>
  <c r="L16" i="5"/>
  <c r="M88" i="5"/>
  <c r="C49" i="3"/>
  <c r="M11" i="3"/>
  <c r="M26" i="5"/>
  <c r="M388" i="5"/>
  <c r="M359" i="5"/>
  <c r="M218" i="5"/>
  <c r="M219" i="5" s="1"/>
  <c r="M225" i="5" s="1"/>
  <c r="M226" i="5" s="1"/>
  <c r="M56" i="5"/>
  <c r="L57" i="5"/>
  <c r="N182" i="5"/>
  <c r="N203" i="5"/>
  <c r="N185" i="5"/>
  <c r="N84" i="5" s="1"/>
  <c r="N50" i="5" s="1"/>
  <c r="N11" i="5"/>
  <c r="N189" i="5"/>
  <c r="N95" i="5" s="1"/>
  <c r="N155" i="5"/>
  <c r="L168" i="5"/>
  <c r="L12" i="5"/>
  <c r="L13" i="5" s="1"/>
  <c r="L387" i="5"/>
  <c r="L21" i="5"/>
  <c r="L48" i="5" s="1"/>
  <c r="L204" i="5"/>
  <c r="L336" i="5"/>
  <c r="O182" i="5"/>
  <c r="O203" i="5"/>
  <c r="O185" i="5"/>
  <c r="O84" i="5" s="1"/>
  <c r="O50" i="5" s="1"/>
  <c r="O11" i="5"/>
  <c r="O189" i="5"/>
  <c r="O95" i="5" s="1"/>
  <c r="O155" i="5"/>
  <c r="M83" i="5"/>
  <c r="M49" i="5" s="1"/>
  <c r="M389" i="5"/>
  <c r="M162" i="5"/>
  <c r="M161" i="5"/>
  <c r="M163" i="5"/>
  <c r="M17" i="5" s="1"/>
  <c r="K18" i="5"/>
  <c r="M51" i="5"/>
  <c r="N252" i="5"/>
  <c r="M100" i="5"/>
  <c r="M61" i="5" s="1"/>
  <c r="N254" i="5" l="1"/>
  <c r="N257" i="5"/>
  <c r="N290" i="5" s="1"/>
  <c r="O51" i="5"/>
  <c r="N51" i="5"/>
  <c r="N162" i="5"/>
  <c r="N161" i="5"/>
  <c r="N163" i="5"/>
  <c r="N17" i="5" s="1"/>
  <c r="N359" i="5"/>
  <c r="N218" i="5"/>
  <c r="N219" i="5" s="1"/>
  <c r="N225" i="5" s="1"/>
  <c r="N226" i="5" s="1"/>
  <c r="N388" i="5"/>
  <c r="N56" i="5"/>
  <c r="L271" i="5"/>
  <c r="L23" i="3"/>
  <c r="N88" i="5"/>
  <c r="C50" i="3"/>
  <c r="N26" i="5"/>
  <c r="N11" i="3"/>
  <c r="O359" i="5"/>
  <c r="O218" i="5"/>
  <c r="O388" i="5"/>
  <c r="O56" i="5"/>
  <c r="O57" i="5" s="1"/>
  <c r="K19" i="5"/>
  <c r="K14" i="3" s="1"/>
  <c r="K22" i="5"/>
  <c r="K13" i="3"/>
  <c r="D47" i="3"/>
  <c r="M57" i="5"/>
  <c r="M168" i="5"/>
  <c r="M12" i="5"/>
  <c r="M387" i="5"/>
  <c r="M21" i="5"/>
  <c r="M48" i="5" s="1"/>
  <c r="M204" i="5"/>
  <c r="M336" i="5"/>
  <c r="L360" i="5"/>
  <c r="L337" i="5" s="1"/>
  <c r="O162" i="5"/>
  <c r="O161" i="5"/>
  <c r="O163" i="5"/>
  <c r="O17" i="5" s="1"/>
  <c r="O26" i="5"/>
  <c r="O88" i="5"/>
  <c r="O11" i="3"/>
  <c r="C51" i="3"/>
  <c r="N83" i="5"/>
  <c r="N49" i="5" s="1"/>
  <c r="N389" i="5"/>
  <c r="M169" i="5"/>
  <c r="M16" i="5"/>
  <c r="O83" i="5"/>
  <c r="O389" i="5"/>
  <c r="L18" i="5"/>
  <c r="L205" i="5"/>
  <c r="O219" i="5" l="1"/>
  <c r="O225" i="5" s="1"/>
  <c r="O226" i="5" s="1"/>
  <c r="O387" i="5" s="1"/>
  <c r="L361" i="5"/>
  <c r="M358" i="5" s="1"/>
  <c r="N169" i="5"/>
  <c r="N16" i="5"/>
  <c r="L22" i="5"/>
  <c r="D48" i="3"/>
  <c r="L13" i="3"/>
  <c r="L19" i="5"/>
  <c r="L14" i="3" s="1"/>
  <c r="M271" i="5"/>
  <c r="M23" i="3"/>
  <c r="N387" i="5"/>
  <c r="N204" i="5"/>
  <c r="N336" i="5"/>
  <c r="N21" i="5"/>
  <c r="N48" i="5" s="1"/>
  <c r="N168" i="5"/>
  <c r="N12" i="5"/>
  <c r="N13" i="5" s="1"/>
  <c r="N18" i="5" s="1"/>
  <c r="M13" i="5"/>
  <c r="M18" i="5" s="1"/>
  <c r="O168" i="5"/>
  <c r="O12" i="5"/>
  <c r="O13" i="5" s="1"/>
  <c r="O18" i="5" s="1"/>
  <c r="M360" i="5"/>
  <c r="M337" i="5" s="1"/>
  <c r="M202" i="5"/>
  <c r="M205" i="5" s="1"/>
  <c r="L87" i="5"/>
  <c r="O49" i="5"/>
  <c r="O169" i="5"/>
  <c r="O16" i="5"/>
  <c r="K27" i="5"/>
  <c r="K384" i="5"/>
  <c r="O271" i="5"/>
  <c r="O23" i="3"/>
  <c r="N57" i="5"/>
  <c r="N100" i="5"/>
  <c r="N61" i="5" s="1"/>
  <c r="O252" i="5"/>
  <c r="O204" i="5" l="1"/>
  <c r="O336" i="5"/>
  <c r="O21" i="5"/>
  <c r="O48" i="5" s="1"/>
  <c r="O22" i="5"/>
  <c r="O19" i="5"/>
  <c r="O14" i="3" s="1"/>
  <c r="O13" i="3"/>
  <c r="D51" i="3"/>
  <c r="L384" i="5"/>
  <c r="M361" i="5"/>
  <c r="N358" i="5" s="1"/>
  <c r="K385" i="5"/>
  <c r="K386" i="5" s="1"/>
  <c r="K390" i="5" s="1"/>
  <c r="K326" i="5"/>
  <c r="K335" i="5" s="1"/>
  <c r="D50" i="3"/>
  <c r="N22" i="5"/>
  <c r="N19" i="5"/>
  <c r="N14" i="3" s="1"/>
  <c r="N13" i="3"/>
  <c r="N271" i="5"/>
  <c r="N23" i="3"/>
  <c r="M22" i="5"/>
  <c r="D49" i="3"/>
  <c r="M13" i="3"/>
  <c r="M19" i="5"/>
  <c r="O254" i="5"/>
  <c r="O100" i="5" s="1"/>
  <c r="O61" i="5" s="1"/>
  <c r="O257" i="5"/>
  <c r="O290" i="5" s="1"/>
  <c r="N202" i="5"/>
  <c r="N205" i="5" s="1"/>
  <c r="M87" i="5"/>
  <c r="K397" i="5" l="1"/>
  <c r="C54" i="3"/>
  <c r="M14" i="3"/>
  <c r="L385" i="5"/>
  <c r="L386" i="5" s="1"/>
  <c r="L390" i="5" s="1"/>
  <c r="M384" i="5"/>
  <c r="N360" i="5"/>
  <c r="N337" i="5" s="1"/>
  <c r="K351" i="5"/>
  <c r="K338" i="5"/>
  <c r="K366" i="5"/>
  <c r="O202" i="5"/>
  <c r="O205" i="5" s="1"/>
  <c r="O87" i="5" s="1"/>
  <c r="N87" i="5"/>
  <c r="N384" i="5"/>
  <c r="O384" i="5"/>
  <c r="L397" i="5" l="1"/>
  <c r="C55" i="3"/>
  <c r="M385" i="5"/>
  <c r="M386" i="5"/>
  <c r="M390" i="5" s="1"/>
  <c r="O385" i="5"/>
  <c r="O386" i="5" s="1"/>
  <c r="O390" i="5" s="1"/>
  <c r="N361" i="5"/>
  <c r="O358" i="5" s="1"/>
  <c r="N385" i="5"/>
  <c r="N386" i="5"/>
  <c r="N390" i="5" s="1"/>
  <c r="K325" i="5"/>
  <c r="K352" i="5" s="1"/>
  <c r="K344" i="5" s="1"/>
  <c r="K343" i="5"/>
  <c r="F403" i="5" l="1"/>
  <c r="F404" i="5" s="1"/>
  <c r="O397" i="5"/>
  <c r="C58" i="3"/>
  <c r="F431" i="5"/>
  <c r="D76" i="3" s="1"/>
  <c r="F435" i="5"/>
  <c r="D80" i="3" s="1"/>
  <c r="D431" i="5"/>
  <c r="C76" i="3" s="1"/>
  <c r="D433" i="5"/>
  <c r="C78" i="3" s="1"/>
  <c r="L432" i="5"/>
  <c r="G77" i="3" s="1"/>
  <c r="L435" i="5"/>
  <c r="G80" i="3" s="1"/>
  <c r="D435" i="5"/>
  <c r="C80" i="3" s="1"/>
  <c r="J431" i="5"/>
  <c r="F76" i="3" s="1"/>
  <c r="J432" i="5"/>
  <c r="F77" i="3" s="1"/>
  <c r="L434" i="5"/>
  <c r="G79" i="3" s="1"/>
  <c r="L433" i="5"/>
  <c r="G78" i="3" s="1"/>
  <c r="D432" i="5"/>
  <c r="C77" i="3" s="1"/>
  <c r="D434" i="5"/>
  <c r="C79" i="3" s="1"/>
  <c r="H432" i="5"/>
  <c r="E77" i="3" s="1"/>
  <c r="J434" i="5"/>
  <c r="F79" i="3" s="1"/>
  <c r="J433" i="5"/>
  <c r="F78" i="3" s="1"/>
  <c r="H434" i="5"/>
  <c r="E79" i="3" s="1"/>
  <c r="H433" i="5"/>
  <c r="E78" i="3" s="1"/>
  <c r="F434" i="5"/>
  <c r="D79" i="3" s="1"/>
  <c r="F433" i="5"/>
  <c r="D78" i="3" s="1"/>
  <c r="F432" i="5"/>
  <c r="D77" i="3" s="1"/>
  <c r="J435" i="5"/>
  <c r="F80" i="3" s="1"/>
  <c r="H435" i="5"/>
  <c r="E80" i="3" s="1"/>
  <c r="L431" i="5"/>
  <c r="G76" i="3" s="1"/>
  <c r="H431" i="5"/>
  <c r="E76" i="3" s="1"/>
  <c r="M397" i="5"/>
  <c r="C56" i="3"/>
  <c r="K353" i="5"/>
  <c r="L350" i="5" s="1"/>
  <c r="N397" i="5"/>
  <c r="C57" i="3"/>
  <c r="O360" i="5"/>
  <c r="O337" i="5" s="1"/>
  <c r="K345" i="5"/>
  <c r="K367" i="5" s="1"/>
  <c r="F402" i="5" l="1"/>
  <c r="F405" i="5" s="1"/>
  <c r="K30" i="5"/>
  <c r="K368" i="5"/>
  <c r="O361" i="5"/>
  <c r="C61" i="3"/>
  <c r="F411" i="5"/>
  <c r="F415" i="5" s="1"/>
  <c r="F32" i="3"/>
  <c r="F406" i="5"/>
  <c r="F417" i="5" l="1"/>
  <c r="F33" i="3"/>
  <c r="C65" i="3"/>
  <c r="K99" i="5"/>
  <c r="K31" i="5"/>
  <c r="K47" i="5" s="1"/>
  <c r="K32" i="5" l="1"/>
  <c r="K35" i="5" s="1"/>
  <c r="F423" i="5"/>
  <c r="F36" i="3" s="1"/>
  <c r="F34" i="3"/>
  <c r="F424" i="5"/>
  <c r="C68" i="3"/>
  <c r="K311" i="5" l="1"/>
  <c r="K64" i="5"/>
  <c r="E47" i="3"/>
  <c r="K36" i="5"/>
  <c r="K17" i="3" s="1"/>
  <c r="K16" i="3"/>
  <c r="K46" i="5"/>
  <c r="K52" i="5" s="1"/>
  <c r="K274" i="5" l="1"/>
  <c r="K312" i="5"/>
  <c r="K315" i="5" s="1"/>
  <c r="K270" i="5"/>
  <c r="K275" i="5" s="1"/>
  <c r="K281" i="5" s="1"/>
  <c r="K22" i="3"/>
  <c r="K313" i="5"/>
  <c r="K107" i="5" l="1"/>
  <c r="K108" i="5" s="1"/>
  <c r="L310" i="5"/>
  <c r="K282" i="5"/>
  <c r="K62" i="5"/>
  <c r="K65" i="5" s="1"/>
  <c r="L280" i="5" l="1"/>
  <c r="K96" i="5"/>
  <c r="K97" i="5" s="1"/>
  <c r="K101" i="5" s="1"/>
  <c r="K111" i="5" s="1"/>
  <c r="K24" i="3"/>
  <c r="K70" i="5"/>
  <c r="K25" i="3" l="1"/>
  <c r="K243" i="5"/>
  <c r="K244" i="5" s="1"/>
  <c r="L242" i="5" s="1"/>
  <c r="K71" i="5"/>
  <c r="L285" i="5"/>
  <c r="L291" i="5" s="1"/>
  <c r="L292" i="5" s="1"/>
  <c r="L25" i="5" s="1"/>
  <c r="K82" i="5" l="1"/>
  <c r="K85" i="5" s="1"/>
  <c r="K90" i="5" s="1"/>
  <c r="K114" i="5" s="1"/>
  <c r="L69" i="5"/>
  <c r="L269" i="5"/>
  <c r="L247" i="5"/>
  <c r="L27" i="5"/>
  <c r="L326" i="5" l="1"/>
  <c r="L335" i="5" s="1"/>
  <c r="L351" i="5" l="1"/>
  <c r="L338" i="5"/>
  <c r="L366" i="5"/>
  <c r="L325" i="5" l="1"/>
  <c r="L352" i="5" s="1"/>
  <c r="L344" i="5" s="1"/>
  <c r="L343" i="5"/>
  <c r="L353" i="5" l="1"/>
  <c r="M350" i="5" s="1"/>
  <c r="L345" i="5"/>
  <c r="L367" i="5" s="1"/>
  <c r="L30" i="5" l="1"/>
  <c r="L368" i="5"/>
  <c r="L31" i="5" l="1"/>
  <c r="L47" i="5" s="1"/>
  <c r="L99" i="5"/>
  <c r="L32" i="5"/>
  <c r="L35" i="5" s="1"/>
  <c r="L16" i="3" l="1"/>
  <c r="L64" i="5"/>
  <c r="L36" i="5"/>
  <c r="L17" i="3" s="1"/>
  <c r="L311" i="5"/>
  <c r="L46" i="5"/>
  <c r="L52" i="5" s="1"/>
  <c r="E48" i="3"/>
  <c r="L270" i="5" l="1"/>
  <c r="L22" i="3"/>
  <c r="L312" i="5"/>
  <c r="L313" i="5" s="1"/>
  <c r="L274" i="5"/>
  <c r="M310" i="5" l="1"/>
  <c r="L107" i="5"/>
  <c r="L108" i="5" s="1"/>
  <c r="L315" i="5"/>
  <c r="L275" i="5"/>
  <c r="L281" i="5" s="1"/>
  <c r="L62" i="5" l="1"/>
  <c r="L65" i="5" s="1"/>
  <c r="L282" i="5"/>
  <c r="M280" i="5" l="1"/>
  <c r="L96" i="5"/>
  <c r="L97" i="5" s="1"/>
  <c r="L101" i="5" s="1"/>
  <c r="L111" i="5" s="1"/>
  <c r="L24" i="3"/>
  <c r="L70" i="5"/>
  <c r="L25" i="3" l="1"/>
  <c r="L243" i="5"/>
  <c r="L244" i="5" s="1"/>
  <c r="M242" i="5" s="1"/>
  <c r="L71" i="5"/>
  <c r="M285" i="5"/>
  <c r="M291" i="5" s="1"/>
  <c r="M292" i="5" s="1"/>
  <c r="M25" i="5" s="1"/>
  <c r="M27" i="5" s="1"/>
  <c r="M326" i="5" l="1"/>
  <c r="M335" i="5" s="1"/>
  <c r="L82" i="5"/>
  <c r="L85" i="5" s="1"/>
  <c r="L90" i="5" s="1"/>
  <c r="L114" i="5" s="1"/>
  <c r="M69" i="5"/>
  <c r="M269" i="5"/>
  <c r="M247" i="5"/>
  <c r="M351" i="5" l="1"/>
  <c r="M338" i="5"/>
  <c r="M366" i="5"/>
  <c r="M325" i="5" l="1"/>
  <c r="M352" i="5" s="1"/>
  <c r="M344" i="5" s="1"/>
  <c r="M343" i="5"/>
  <c r="M353" i="5" l="1"/>
  <c r="N350" i="5" s="1"/>
  <c r="M345" i="5"/>
  <c r="M367" i="5" s="1"/>
  <c r="M30" i="5" l="1"/>
  <c r="M368" i="5"/>
  <c r="M31" i="5" l="1"/>
  <c r="M47" i="5" s="1"/>
  <c r="M99" i="5"/>
  <c r="M32" i="5"/>
  <c r="M35" i="5" s="1"/>
  <c r="E49" i="3" l="1"/>
  <c r="M16" i="3"/>
  <c r="M36" i="5"/>
  <c r="M17" i="3" s="1"/>
  <c r="M311" i="5"/>
  <c r="M46" i="5"/>
  <c r="M52" i="5" s="1"/>
  <c r="M64" i="5"/>
  <c r="M270" i="5" l="1"/>
  <c r="M22" i="3"/>
  <c r="M312" i="5"/>
  <c r="M313" i="5" s="1"/>
  <c r="M274" i="5"/>
  <c r="N310" i="5" l="1"/>
  <c r="M107" i="5"/>
  <c r="M108" i="5" s="1"/>
  <c r="M315" i="5"/>
  <c r="M275" i="5"/>
  <c r="M281" i="5" s="1"/>
  <c r="M62" i="5" l="1"/>
  <c r="M65" i="5" s="1"/>
  <c r="M282" i="5"/>
  <c r="M96" i="5" l="1"/>
  <c r="M97" i="5" s="1"/>
  <c r="M101" i="5" s="1"/>
  <c r="M111" i="5" s="1"/>
  <c r="N280" i="5"/>
  <c r="M24" i="3"/>
  <c r="M70" i="5"/>
  <c r="N285" i="5" l="1"/>
  <c r="N291" i="5" s="1"/>
  <c r="N292" i="5" s="1"/>
  <c r="N25" i="5" s="1"/>
  <c r="N27" i="5" s="1"/>
  <c r="M243" i="5"/>
  <c r="M244" i="5" s="1"/>
  <c r="N242" i="5" s="1"/>
  <c r="M25" i="3"/>
  <c r="M71" i="5"/>
  <c r="M82" i="5" l="1"/>
  <c r="M85" i="5" s="1"/>
  <c r="M90" i="5" s="1"/>
  <c r="M114" i="5" s="1"/>
  <c r="N69" i="5"/>
  <c r="N269" i="5"/>
  <c r="N247" i="5"/>
  <c r="N326" i="5"/>
  <c r="N335" i="5" s="1"/>
  <c r="N351" i="5" l="1"/>
  <c r="N338" i="5"/>
  <c r="N366" i="5"/>
  <c r="N325" i="5" l="1"/>
  <c r="N352" i="5" s="1"/>
  <c r="N344" i="5" s="1"/>
  <c r="N343" i="5"/>
  <c r="N345" i="5" l="1"/>
  <c r="N367" i="5" s="1"/>
  <c r="N353" i="5"/>
  <c r="O350" i="5" s="1"/>
  <c r="N30" i="5" l="1"/>
  <c r="N368" i="5"/>
  <c r="N31" i="5" l="1"/>
  <c r="N47" i="5" s="1"/>
  <c r="N99" i="5"/>
  <c r="N32" i="5"/>
  <c r="N35" i="5" s="1"/>
  <c r="N16" i="3" l="1"/>
  <c r="N64" i="5"/>
  <c r="N36" i="5"/>
  <c r="N17" i="3" s="1"/>
  <c r="N311" i="5"/>
  <c r="N46" i="5"/>
  <c r="N52" i="5" s="1"/>
  <c r="E50" i="3"/>
  <c r="N270" i="5" l="1"/>
  <c r="N275" i="5" s="1"/>
  <c r="N281" i="5" s="1"/>
  <c r="N22" i="3"/>
  <c r="N312" i="5"/>
  <c r="N315" i="5" s="1"/>
  <c r="N274" i="5"/>
  <c r="N62" i="5" l="1"/>
  <c r="N65" i="5" s="1"/>
  <c r="N282" i="5"/>
  <c r="N313" i="5"/>
  <c r="O310" i="5" l="1"/>
  <c r="N107" i="5"/>
  <c r="N108" i="5" s="1"/>
  <c r="N96" i="5"/>
  <c r="N97" i="5" s="1"/>
  <c r="N101" i="5" s="1"/>
  <c r="N111" i="5" s="1"/>
  <c r="O280" i="5"/>
  <c r="N24" i="3"/>
  <c r="N70" i="5"/>
  <c r="O285" i="5" l="1"/>
  <c r="O291" i="5" s="1"/>
  <c r="O292" i="5" s="1"/>
  <c r="O25" i="5" s="1"/>
  <c r="O27" i="5" s="1"/>
  <c r="N243" i="5"/>
  <c r="N244" i="5" s="1"/>
  <c r="O242" i="5" s="1"/>
  <c r="N25" i="3"/>
  <c r="N71" i="5"/>
  <c r="N82" i="5" l="1"/>
  <c r="N85" i="5" s="1"/>
  <c r="N90" i="5" s="1"/>
  <c r="N114" i="5" s="1"/>
  <c r="O69" i="5"/>
  <c r="O269" i="5"/>
  <c r="O247" i="5"/>
  <c r="O326" i="5"/>
  <c r="O335" i="5" s="1"/>
  <c r="O351" i="5" l="1"/>
  <c r="O338" i="5"/>
  <c r="O366" i="5"/>
  <c r="O325" i="5" l="1"/>
  <c r="O343" i="5"/>
  <c r="O352" i="5" l="1"/>
  <c r="O344" i="5" l="1"/>
  <c r="O345" i="5" s="1"/>
  <c r="O367" i="5" s="1"/>
  <c r="O353" i="5"/>
  <c r="O30" i="5" l="1"/>
  <c r="O368" i="5"/>
  <c r="O31" i="5" l="1"/>
  <c r="O47" i="5" s="1"/>
  <c r="O99" i="5"/>
  <c r="O32" i="5"/>
  <c r="O35" i="5" s="1"/>
  <c r="O64" i="5" l="1"/>
  <c r="O36" i="5"/>
  <c r="O311" i="5"/>
  <c r="O46" i="5"/>
  <c r="O52" i="5" s="1"/>
  <c r="E51" i="3"/>
  <c r="O16" i="3"/>
  <c r="O17" i="3" l="1"/>
  <c r="O270" i="5"/>
  <c r="O22" i="3"/>
  <c r="O312" i="5"/>
  <c r="O315" i="5" s="1"/>
  <c r="O274" i="5"/>
  <c r="O313" i="5" l="1"/>
  <c r="O107" i="5" s="1"/>
  <c r="O108" i="5" s="1"/>
  <c r="O275" i="5"/>
  <c r="O281" i="5" s="1"/>
  <c r="O62" i="5" l="1"/>
  <c r="O282" i="5"/>
  <c r="O96" i="5" l="1"/>
  <c r="O97" i="5" s="1"/>
  <c r="O101" i="5" s="1"/>
  <c r="O111" i="5" s="1"/>
  <c r="N18" i="1"/>
  <c r="O65" i="5"/>
  <c r="O24" i="3" l="1"/>
  <c r="O70" i="5"/>
  <c r="O243" i="5" l="1"/>
  <c r="O244" i="5" s="1"/>
  <c r="O25" i="3"/>
  <c r="O71" i="5"/>
  <c r="O82" i="5" s="1"/>
  <c r="O85" i="5" s="1"/>
  <c r="O90" i="5" s="1"/>
  <c r="O114" i="5" s="1"/>
  <c r="N16" i="1" s="1"/>
  <c r="N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7" authorId="0" shapeId="0" xr:uid="{00000000-0006-0000-0300-00000C000000}">
      <text>
        <r>
          <rPr>
            <sz val="10"/>
            <rFont val="Arial"/>
            <family val="2"/>
          </rPr>
          <t>1 = Best Case, 2 = Base Case, 3 = Worst Case. This single cell drives every scenario-toggled assumption throughout the Inputs and Model sheets.</t>
        </r>
      </text>
    </comment>
    <comment ref="B13" authorId="0" shapeId="0" xr:uid="{00000000-0006-0000-0300-000001000000}">
      <text>
        <r>
          <rPr>
            <sz val="10"/>
            <rFont val="Arial"/>
            <family val="2"/>
          </rPr>
          <t>Base Case: fades from ~7.5% (FY27E) to ~5.5% (FY31E), based on the 5-yr historical revenue CAGR (~6.8%) and MD&amp;A segment growth commentary (Cigarettes: low-to-mid single digit; FMCG-Others: double-digit ambition; Agri/Paperboards: mid-single digit). Best/Worst Case flex +/-2 to 3pp around this path.</t>
        </r>
      </text>
    </comment>
    <comment ref="B20" authorId="0" shapeId="0" xr:uid="{00000000-0006-0000-0300-000002000000}">
      <text>
        <r>
          <rPr>
            <sz val="10"/>
            <rFont val="Arial"/>
            <family val="2"/>
          </rPr>
          <t>FY26A actual EBITDA margin fell to ~28.2% (from a FY22-FY25 average of ~33.8%) on raw-material cost inflation and an unfavourable Change-in-Inventory swing (see Model sheet). Base Case assumes gradual recovery toward the historical range as cost pressure eases and FMCG-Others mix/operating leverage improve.</t>
        </r>
      </text>
    </comment>
    <comment ref="B27" authorId="0" shapeId="0" xr:uid="{00000000-0006-0000-0300-000003000000}">
      <text>
        <r>
          <rPr>
            <sz val="10"/>
            <rFont val="Arial"/>
            <family val="2"/>
          </rPr>
          <t>Base Case ~3.3% of revenue, based on FY26 segment capex of Rs.2,553.58 Cr (Note 30) against FY26 revenue, in line with the 5-yr historical average. Worst Case assumes higher capex intensity (e.g. capacity investment without matching revenue growth).</t>
        </r>
      </text>
    </comment>
    <comment ref="B39" authorId="0" shapeId="0" xr:uid="{00000000-0006-0000-0300-000004000000}">
      <text>
        <r>
          <rPr>
            <sz val="10"/>
            <rFont val="Arial"/>
            <family val="2"/>
          </rPr>
          <t>Held near the FY22-FY26 average of Receivables/Revenue*365.</t>
        </r>
      </text>
    </comment>
    <comment ref="B40" authorId="0" shapeId="0" xr:uid="{00000000-0006-0000-0300-000005000000}">
      <text>
        <r>
          <rPr>
            <sz val="10"/>
            <rFont val="Arial"/>
            <family val="2"/>
          </rPr>
          <t>Trending near the 5-yr average, reflecting normalisation of Agri/FMCG-Others inventory build.</t>
        </r>
      </text>
    </comment>
    <comment ref="B41" authorId="0" shapeId="0" xr:uid="{00000000-0006-0000-0300-000006000000}">
      <text>
        <r>
          <rPr>
            <sz val="10"/>
            <rFont val="Arial"/>
            <family val="2"/>
          </rPr>
          <t>Trade payables, provisions and other current liabilities as % of revenue, near the FY26A actual ratio.</t>
        </r>
      </text>
    </comment>
    <comment ref="B44" authorId="0" shapeId="0" xr:uid="{00000000-0006-0000-0300-000007000000}">
      <text>
        <r>
          <rPr>
            <sz val="10"/>
            <rFont val="Arial"/>
            <family val="2"/>
          </rPr>
          <t>Normalised at ~2.8% of revenue (FY25 excluded as a one-off Hotels-demerger-related outlier).</t>
        </r>
      </text>
    </comment>
    <comment ref="B45" authorId="0" shapeId="0" xr:uid="{00000000-0006-0000-0300-000008000000}">
      <text>
        <r>
          <rPr>
            <sz val="10"/>
            <rFont val="Arial"/>
            <family val="2"/>
          </rPr>
          <t>ITC has historically been a high-payout FMCG franchise; FY22-FY26 payout (excl. FY25's demerger-inflated profit) averaged ~88-93%.</t>
        </r>
      </text>
    </comment>
    <comment ref="B46" authorId="0" shapeId="0" xr:uid="{00000000-0006-0000-0300-000009000000}">
      <text>
        <r>
          <rPr>
            <sz val="10"/>
            <rFont val="Arial"/>
            <family val="2"/>
          </rPr>
          <t>~7.2% based on the FY22-FY26 average of Depreciation / Opening Net Block+CWIP.</t>
        </r>
      </text>
    </comment>
    <comment ref="L49" authorId="0" shapeId="0" xr:uid="{00000000-0006-0000-0300-00000D000000}">
      <text>
        <r>
          <rPr>
            <sz val="10"/>
            <rFont val="Arial"/>
            <family val="2"/>
          </rPr>
          <t>Statutory rate of 25.168% (22% + 10% surcharge + 4% cess) under Sec 115BAA, per ITC Report &amp; Accounts FY2026, Note 12(D).</t>
        </r>
      </text>
    </comment>
    <comment ref="F53" authorId="0" shapeId="0" xr:uid="{00000000-0006-0000-0300-00000A000000}">
      <text>
        <r>
          <rPr>
            <sz val="10"/>
            <rFont val="Arial"/>
            <family val="2"/>
          </rPr>
          <t>~5.0% long-run nominal growth in perpetuity, approximating India's long-term nominal GDP glide path, kept below WACC.</t>
        </r>
      </text>
    </comment>
    <comment ref="L53" authorId="0" shapeId="0" xr:uid="{00000000-0006-0000-0300-00000E000000}">
      <text>
        <r>
          <rPr>
            <sz val="10"/>
            <rFont val="Arial"/>
            <family val="2"/>
          </rPr>
          <t>India 10-yr G-Sec yield ~6.78-6.85% (early Aug 2026). Source: Trading Economics / Business Today.</t>
        </r>
      </text>
    </comment>
    <comment ref="F54" authorId="0" shapeId="0" xr:uid="{00000000-0006-0000-0300-00000B000000}">
      <text>
        <r>
          <rPr>
            <sz val="10"/>
            <rFont val="Arial"/>
            <family val="2"/>
          </rPr>
          <t>ITC Ltd (NSE: ITC), early August 2026. Source: Yahoo Finance / NSE.</t>
        </r>
      </text>
    </comment>
    <comment ref="L54" authorId="0" shapeId="0" xr:uid="{00000000-0006-0000-0300-00000F000000}">
      <text>
        <r>
          <rPr>
            <sz val="10"/>
            <rFont val="Arial"/>
            <family val="2"/>
          </rPr>
          <t>India country ERP ~7.0% (mature-market ERP ~4.5-5% plus an India country risk premium ~2-2.5%).</t>
        </r>
      </text>
    </comment>
    <comment ref="L55" authorId="0" shapeId="0" xr:uid="{00000000-0006-0000-0300-000010000000}">
      <text>
        <r>
          <rPr>
            <sz val="10"/>
            <rFont val="Arial"/>
            <family val="2"/>
          </rPr>
          <t>ITC's reported 5-yr beta ranges from -0.08 (Yahoo Finance) to 0.43 (TradingView), reflecting its defensive staples profile. A conservative mid-point of 0.55 is used.</t>
        </r>
      </text>
    </comment>
    <comment ref="L56" authorId="0" shapeId="0" xr:uid="{00000000-0006-0000-0300-000011000000}">
      <text>
        <r>
          <rPr>
            <sz val="10"/>
            <rFont val="Arial"/>
            <family val="2"/>
          </rPr>
          <t>Approximate AAA Indian corporate bond yield; ITC carries negligible debt so this has minimal WACC impact.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2" authorId="0" shapeId="0" xr:uid="{00000000-0006-0000-0400-000014000000}">
      <text>
        <r>
          <rPr>
            <sz val="10"/>
            <rFont val="Arial"/>
            <family val="2"/>
          </rPr>
          <t>COGS = Raw Material Cost + Change in Inventory + Power &amp; Fuel + Other Manufacturing Expenses (per Historical data). Stored as a negative number, per this model's expense convention, so subtotals below are simple SUMs.</t>
        </r>
      </text>
    </comment>
    <comment ref="J16" authorId="0" shapeId="0" xr:uid="{00000000-0006-0000-0400-000015000000}">
      <text>
        <r>
          <rPr>
            <sz val="10"/>
            <rFont val="Arial"/>
            <family val="2"/>
          </rPr>
          <t>SG&amp;A = Employee Cost + Selling &amp; Administrative Expenses (per Historical data).</t>
        </r>
      </text>
    </comment>
    <comment ref="I26" authorId="0" shapeId="0" xr:uid="{00000000-0006-0000-0400-000011000000}">
      <text>
        <r>
          <rPr>
            <sz val="10"/>
            <rFont val="Arial"/>
            <family val="2"/>
          </rPr>
          <t>FY2025 Other Income includes ~Rs.17,803 Cr one-time gain related to the Scheme of Demerger of the Hotels business into ITC Hotels Limited. Treated as non-recurring and excluded from the normalised Other-Income-%-of-Revenue assumption used for FY27E-FY31E.</t>
        </r>
      </text>
    </comment>
    <comment ref="B31" authorId="0" shapeId="0" xr:uid="{00000000-0006-0000-0400-000001000000}">
      <text>
        <r>
          <rPr>
            <sz val="10"/>
            <rFont val="Arial"/>
            <family val="2"/>
          </rPr>
          <t>ITC has no disclosed tax-loss carryforwards or material deferred-tax timing differences at the scale of a full NOL schedule, so this line is held at nil rather than fabricated. Total Tax therefore equals Current Tax.</t>
        </r>
      </text>
    </comment>
    <comment ref="E52" authorId="0" shapeId="0" xr:uid="{00000000-0006-0000-0400-000004000000}">
      <text>
        <r>
          <rPr>
            <sz val="10"/>
            <rFont val="Arial"/>
            <family val="2"/>
          </rPr>
          <t>Reported (actual) CFO per company filings for reference: FY22 Rs.15,776 Cr | FY23 Rs.18,878 Cr | FY24 Rs.17,179 Cr | FY25 Rs.17,627 Cr | FY26 Rs.18,464 Cr. Small differences vs. the formula-derived Subtotal reflect other non-modelled working-capital and non-cash items (e.g. provisions, forex, exceptional items) not separately disclosed at this level of granularity.</t>
        </r>
      </text>
    </comment>
    <comment ref="F56" authorId="0" shapeId="0" xr:uid="{00000000-0006-0000-0400-000009000000}">
      <text>
        <r>
          <rPr>
            <sz val="10"/>
            <rFont val="Arial"/>
            <family val="2"/>
          </rPr>
          <t>Historical Capex (FY22-FY26) is derived from the PP&amp;E Schedule identity: Capex = Closing Net PP&amp;E - Opening Net PP&amp;E + Depreciation, using actual reported PP&amp;E balances and depreciation (ITC does not separately disclose a single standalone-entity Capex figure for all years; segment-level Capex is disclosed only for FY25-FY26 in Note 30 and is used there as a cross-check).</t>
        </r>
      </text>
    </comment>
    <comment ref="E57" authorId="0" shapeId="0" xr:uid="{00000000-0006-0000-0400-000005000000}">
      <text>
        <r>
          <rPr>
            <sz val="10"/>
            <rFont val="Arial"/>
            <family val="2"/>
          </rPr>
          <t>Simplified to Capex only (ITC's Investments line is treated as a non-operating balance-sheet item funded from the financing/cash waterfall below, not run through a separate 'Investing' cash flow, consistent with the DCF's treatment of Investments as non-operating).</t>
        </r>
      </text>
    </comment>
    <comment ref="K57" authorId="0" shapeId="0" xr:uid="{00000000-0006-0000-0400-000016000000}">
      <text>
        <r>
          <rPr>
            <sz val="10"/>
            <rFont val="Arial"/>
            <family val="2"/>
          </rPr>
          <t>Subtotal = Capex + (increase)/decrease in the non-operating Investments balance. The Investments line on the Balance Sheet grows with Revenue (see note there); that growth is funded here as a use of cash, consistent with the DCF treatment of Investments as a non-operating asset.</t>
        </r>
      </text>
    </comment>
    <comment ref="B62" authorId="0" shapeId="0" xr:uid="{00000000-0006-0000-0400-000002000000}">
      <text>
        <r>
          <rPr>
            <sz val="10"/>
            <rFont val="Arial"/>
            <family val="2"/>
          </rPr>
          <t>Not used — ITC does not operate a revolving credit facility in this model; held at nil.</t>
        </r>
      </text>
    </comment>
    <comment ref="B63" authorId="0" shapeId="0" xr:uid="{00000000-0006-0000-0400-000003000000}">
      <text>
        <r>
          <rPr>
            <sz val="10"/>
            <rFont val="Arial"/>
            <family val="2"/>
          </rPr>
          <t>No new share issuance assumed for the projection period.</t>
        </r>
      </text>
    </comment>
    <comment ref="F69" authorId="0" shapeId="0" xr:uid="{00000000-0006-0000-0400-00000A000000}">
      <text>
        <r>
          <rPr>
            <sz val="10"/>
            <rFont val="Arial"/>
            <family val="2"/>
          </rPr>
          <t>FY2021A closing Cash &amp; Bank balance (Rs.4,659.02 Cr per Historical data), used as the FY2022 opening balance. Adjusted here to the FY2021 pre-restatement screener figure for continuity with FY2022's reported change in cash.</t>
        </r>
      </text>
    </comment>
    <comment ref="K82" authorId="0" shapeId="0" xr:uid="{00000000-0006-0000-0400-000017000000}">
      <text>
        <r>
          <rPr>
            <sz val="10"/>
            <rFont val="Arial"/>
            <family val="2"/>
          </rPr>
          <t>Projected cash trends down (and turns negative in later years) because the model holds both an ~88% Dividend Payout Ratio AND grows the non-operating Investments balance in line with Revenue — together these draw more cash than Net Income + Depreciation generates net of Capex. This is a genuine output of the stated Inputs, not a plug error (the Balance Sheet ties out exactly — see Check row 114). In practice, management would flex the payout ratio or investment allocation to avoid a cash shortfall. Flag for sensitivity testing on the Payout Ratio and Capex-%-of-Revenue Driver Switch; it has no bearing on the DCF, which values operating FCFF independent of the cash balance.</t>
        </r>
      </text>
    </comment>
    <comment ref="E83" authorId="0" shapeId="0" xr:uid="{00000000-0006-0000-0400-000006000000}">
      <text>
        <r>
          <rPr>
            <sz val="10"/>
            <rFont val="Arial"/>
            <family val="2"/>
          </rPr>
          <t>FY2021A actual closing balance, used as the anchor for computing FY2022's "Cash From Accounts Receivable" movement. Source: Historical company filings.</t>
        </r>
      </text>
    </comment>
    <comment ref="E84" authorId="0" shapeId="0" xr:uid="{00000000-0006-0000-0400-000007000000}">
      <text>
        <r>
          <rPr>
            <sz val="10"/>
            <rFont val="Arial"/>
            <family val="2"/>
          </rPr>
          <t>FY2021A actual closing balance, used as the FY2022 movement anchor.</t>
        </r>
      </text>
    </comment>
    <comment ref="I87" authorId="0" shapeId="0" xr:uid="{00000000-0006-0000-0400-000012000000}">
      <text>
        <r>
          <rPr>
            <sz val="10"/>
            <rFont val="Arial"/>
            <family val="2"/>
          </rPr>
          <t>FY2025 PP&amp;E declined sharply due to the carve-out of Hotels-business assets under the Scheme of Demerger, not asset disposal in the ordinary course.</t>
        </r>
      </text>
    </comment>
    <comment ref="K88" authorId="0" shapeId="0" xr:uid="{00000000-0006-0000-0400-000018000000}">
      <text>
        <r>
          <rPr>
            <sz val="10"/>
            <rFont val="Arial"/>
            <family val="2"/>
          </rPr>
          <t>Projected at a constant ratio to Revenue (= FY26A Investments / FY26A Revenue), reflecting continued deployment of surplus cash into ITC's treasury investment portfolio in line with the historical relationship.</t>
        </r>
      </text>
    </comment>
    <comment ref="F89" authorId="0" shapeId="0" xr:uid="{00000000-0006-0000-0400-00000B000000}">
      <text>
        <r>
          <rPr>
            <sz val="10"/>
            <rFont val="Arial"/>
            <family val="2"/>
          </rPr>
          <t>Residual of reported 'Other Assets' not explained by Receivables/Inventory/Cash (e.g. loans, deferred tax assets, other financial assets). Held constant at the FY26A level for the projection period as a simplifying assumption; not a primary value driver for ITC.</t>
        </r>
      </text>
    </comment>
    <comment ref="E95" authorId="0" shapeId="0" xr:uid="{00000000-0006-0000-0400-000008000000}">
      <text>
        <r>
          <rPr>
            <sz val="10"/>
            <rFont val="Arial"/>
            <family val="2"/>
          </rPr>
          <t>FY2021A actual closing balance, used as the FY2022 movement anchor.</t>
        </r>
      </text>
    </comment>
    <comment ref="K140" authorId="0" shapeId="0" xr:uid="{00000000-0006-0000-0400-000019000000}">
      <text>
        <r>
          <rPr>
            <sz val="10"/>
            <rFont val="Arial"/>
            <family val="2"/>
          </rPr>
          <t>Cost mix held at the FY2026A actual split of Total Opex (COGS 72.7% / SG&amp;A 23.2% / Other 4.1%), since only the aggregate EBITDA margin is separately driven by scenario. This preserves realistic line-item detail in the Income Statement without requiring separate growth assumptions for each cost category.</t>
        </r>
      </text>
    </comment>
    <comment ref="F190" authorId="0" shapeId="0" xr:uid="{00000000-0006-0000-0400-00000C000000}">
      <text>
        <r>
          <rPr>
            <sz val="10"/>
            <rFont val="Arial"/>
            <family val="2"/>
          </rPr>
          <t>FY2021A closing Net Block + CWIP (Rs.23,298.48 Cr + Rs.4,011.29 Cr), used as the FY2022 opening balance. Source: Historical company filings (Screener.in export).</t>
        </r>
      </text>
    </comment>
    <comment ref="I191" authorId="0" shapeId="0" xr:uid="{00000000-0006-0000-0400-000013000000}">
      <text>
        <r>
          <rPr>
            <sz val="10"/>
            <rFont val="Arial"/>
            <family val="2"/>
          </rPr>
          <t>FY2025 implied Capex is negative because Net PP&amp;E declined sharply due to the Hotels-business asset carve-out under the Scheme of Demerger — not a real capex reduction. See Balance Sheet note.</t>
        </r>
      </text>
    </comment>
    <comment ref="F205" authorId="0" shapeId="0" xr:uid="{00000000-0006-0000-0400-00000D000000}">
      <text>
        <r>
          <rPr>
            <sz val="10"/>
            <rFont val="Arial"/>
            <family val="2"/>
          </rPr>
          <t>FY2021A closing Borrowings (Rs.270.83 Cr), used as the FY2022 opening balance. Source: Historical company filings.</t>
        </r>
      </text>
    </comment>
    <comment ref="K206" authorId="0" shapeId="0" xr:uid="{00000000-0006-0000-0400-00001A000000}">
      <text>
        <r>
          <rPr>
            <sz val="10"/>
            <rFont val="Arial"/>
            <family val="2"/>
          </rPr>
          <t>Debt held flat at the FY2026A level — ITC is effectively self-funded; capex and dividends are funded from operating cash flow. Flex any cell to model a drawdown/repayment.</t>
        </r>
      </text>
    </comment>
    <comment ref="F267" authorId="0" shapeId="0" xr:uid="{00000000-0006-0000-0400-00000E000000}">
      <text>
        <r>
          <rPr>
            <sz val="10"/>
            <rFont val="Arial"/>
            <family val="2"/>
          </rPr>
          <t>Gordon Growth: FCFF(FY31E) x (1+g) / (WACC - g). Both WACC and g are linked to the Inputs sheet.</t>
        </r>
      </text>
    </comment>
    <comment ref="F275" authorId="0" shapeId="0" xr:uid="{00000000-0006-0000-0400-00000F000000}">
      <text>
        <r>
          <rPr>
            <sz val="10"/>
            <rFont val="Arial"/>
            <family val="2"/>
          </rPr>
          <t>FY2026A actual cash balance, added back as non-operating since FCFF excludes it.</t>
        </r>
      </text>
    </comment>
    <comment ref="F276" authorId="0" shapeId="0" xr:uid="{00000000-0006-0000-0400-000010000000}">
      <text>
        <r>
          <rPr>
            <sz val="10"/>
            <rFont val="Arial"/>
            <family val="2"/>
          </rPr>
          <t>ITC's large treasury investment portfolio is treated as non-operating and added at book value. A holding-company discount could reasonably be applied here.</t>
        </r>
      </text>
    </comment>
  </commentList>
</comments>
</file>

<file path=xl/sharedStrings.xml><?xml version="1.0" encoding="utf-8"?>
<sst xmlns="http://schemas.openxmlformats.org/spreadsheetml/2006/main" count="1396" uniqueCount="995">
  <si>
    <t>ITC Limited — DCF &amp; 3-Statement Model</t>
  </si>
  <si>
    <t>Academic Project — Not Investment Advice</t>
  </si>
  <si>
    <t>Table of Contents</t>
  </si>
  <si>
    <t>Model Checks</t>
  </si>
  <si>
    <t>Outputs</t>
  </si>
  <si>
    <t>Balance Sheet Unbalanced (any year)?</t>
  </si>
  <si>
    <t>Inputs</t>
  </si>
  <si>
    <t>Any Formula Errors Detected?</t>
  </si>
  <si>
    <t>Model</t>
  </si>
  <si>
    <t>Revolving Credit Line Drawn (FY31E)?</t>
  </si>
  <si>
    <t>Model Notes</t>
  </si>
  <si>
    <t>This workbook follows a Wall-Street-Prep-style 3-statement modelling architecture: a Cover sheet, an Outputs dashboard, an Inputs sheet (with a Best / Base / Worst Case driver switch), and a single stacked Model sheet containing all supporting schedules.</t>
  </si>
  <si>
    <t>All figures are in Rs. Crores unless stated. FY2022A-FY2026A are ITC Limited's actual standalone results (sourced from company filings / Screener.in, cross-checked to the FY2026 Report &amp; Accounts). FY2027E-FY2031E are projected.</t>
  </si>
  <si>
    <t>Colour convention: BLUE text = hardcoded actual or input assumption. BLACK text = formula. GREY italic = memo/illustrative line, not a driver. Change the Driver Switch on the Inputs sheet (cell H7) to 1 / 2 / 3 to toggle Best / Base / Worst Case scenarios throughout the model.</t>
  </si>
  <si>
    <t>This model now includes the full template-style schedule set — a Volume x Price revenue decomposition, a vintage (existing + new-asset, half-year convention) Depreciation schedule, a book-tax (WDV) basis schedule driving a genuine Current/Deferred tax split, and a two-part Debt Schedule with a revolving-credit cash-sweep — matching the generic manufacturing template this format is based on. Because ITC does not disclose unit volumes/prices, asset vintages, or a tax written-down value, these mechanics run on documented illustrative placeholder assumptions (Inputs sheet Section 7; full rationale in Assumptions Log Section 8) rather than fabricated "as-reported" figures. They are calibrated so Revenue, EBITDA margin and Net Income are unchanged (or materially unchanged) from the prior, simpler version of this model — the rebuild changes how the numbers are built, not the validated conclusions.</t>
  </si>
  <si>
    <t>A Discounted Cash Flow (DCF) Valuation schedule is included at the end of the Model sheet (not part of the original template) since that is the deliverable required by the course assignment. Notably, the revolving credit line — expected to sit at Rs. 0 given ITC's real balance sheet — instead draws to roughly Rs. 6,000 Cr by FY31E under Base Case: the 88% dividend payout ratio exceeds free cash flow generation against ITC's low FY26A cash base (Rs. 643 Cr). This is a genuine structural finding surfaced by adding the cash-sweep mechanic, not a modelling error — see Assumptions Log Section 8.4.</t>
  </si>
  <si>
    <t>This Excel model is prepared for educational purposes as part of a Financial Statement Analysis course assignment.</t>
  </si>
  <si>
    <t>ITC Limited — DCF Model: Assumptions &amp; Data Sourcing Log</t>
  </si>
  <si>
    <t>This sheet documents every judgment call, data-sourcing decision, and assumption used to update this model with the FY2024–FY2026 Consolidated Report &amp; Accounts figures provided. All values are hardcoded from source; nothing here is a comment on a cell — it is the single reference log for the whole workbook.</t>
  </si>
  <si>
    <t>1. DATA SOURCE</t>
  </si>
  <si>
    <t>Source documents</t>
  </si>
  <si>
    <t>ITC Limited Report &amp; Accounts for FY2024, FY2025 and FY2026 (Consolidated Statement of Profit &amp; Loss, Consolidated Balance Sheet, Consolidated Statement of Cash Flows, Consolidated Statement of Changes in Equity) — screenshots of itcportal.com PDF filings, as supplied by the user.</t>
  </si>
  <si>
    <t>Basis change vs. prior version of this model</t>
  </si>
  <si>
    <t>This model previously used ITC STANDALONE financials for FY2022A–FY2026A (per the original Cover sheet note). It has now been rebuilt for FY2024A–FY2026A using CONSOLIDATED (Group) financials, since that is what was supplied. FY2022A and FY2023A remain on the old STANDALONE basis — no consolidated data was provided for those years — so a structural break exists in the historical trend at the FY2023→FY2024 boundary. This is flagged in the column headers on the Model sheet ("Standalone" vs "Consol.") and does not affect the DCF output, which is anchored entirely to the FY2026A consolidated base year.</t>
  </si>
  <si>
    <t>2. ITC HOTELS DEMERGER — TREATMENT OF DISCONTINUED OPERATIONS</t>
  </si>
  <si>
    <t>What happened</t>
  </si>
  <si>
    <t>ITC demerged its Hotels business into ITC Hotels Limited during FY2025. The FY2025 Consolidated P&amp;L therefore splits results into "Continuing Operations" and "Discontinued Operations" (Hotels), and includes a one-time, non-cash fair-valuation gain of Rs. 15,583.12 Cr recognised on the demerger. FY2026 has no discontinued-operations line since the demerger was already complete.</t>
  </si>
  <si>
    <t>Assumption applied</t>
  </si>
  <si>
    <t>FY2024, FY2025 and FY2026 P&amp;L figures used in this model are all on a CONTINUING OPERATIONS basis (i.e. ex-Hotels), for like-for-like comparability and because Hotels cash flows are no longer part of ITC's forecast business. FY2024 continuing-operations figures were sourced from the FY2025 Annual Report's restated prior-year comparative column (not the FY2024 Report's as-originally-reported column, which still included Hotels). This avoids overstating FY2024 as an artificially larger base and avoids the one-time demerger gain distorting margins or growth rates anywhere in the model.</t>
  </si>
  <si>
    <t>Balance Sheet caveat (not adjusted)</t>
  </si>
  <si>
    <t>Unlike the P&amp;L, the Balance Sheet as at 31 March 2024 used in this model is AS REPORTED (i.e. it still includes ITC Hotels' assets &amp; liabilities, since the demerger had not yet occurred at that date). The FY2025 and FY2026 Balance Sheets are ex-Hotels. As a result, period-over-period balance sheet metrics (PP&amp;E roll-forward, implied historical capex, working-capital days) show a step-change between FY2024 and FY2025 that reflects the demerger, not organic business movement. This is a disclosure limitation, not a modelling error — no restated FY2024 consolidated Balance Sheet ex-Hotels was available in the source documents. It has no bearing on the forecast, which starts fresh from the FY2026A (fully ex-Hotels) base year.</t>
  </si>
  <si>
    <t>3. INCOME STATEMENT — LINE-ITEM MAPPING CONVENTIONS</t>
  </si>
  <si>
    <t>Why a mapping was needed</t>
  </si>
  <si>
    <t>ITC's statutory P&amp;L is presented "by nature" (materials, employee costs, finance costs, D&amp;A, other expenses) rather than "by function" (COGS / SG&amp;A / Other Opex), which is what this model's template architecture requires. The mapping below was applied consistently across FY2024–FY2026.</t>
  </si>
  <si>
    <t>COGS</t>
  </si>
  <si>
    <t>Definition: Cost of materials consumed + Purchases of stock-in-trade + Changes in inventories &amp; biological assets + Excise duty. Represents direct production / cost-of-goods-sold items.</t>
  </si>
  <si>
    <t>SG&amp;A</t>
  </si>
  <si>
    <t>Definition: Employee benefits expense only.</t>
  </si>
  <si>
    <t>Other Opex</t>
  </si>
  <si>
    <t>Definition: "Other expenses" per the statutory P&amp;L (selling, distribution, admin, marketing, etc. — ITC does not disclose a further functional split of this line).</t>
  </si>
  <si>
    <t>Other Income (model row 26)</t>
  </si>
  <si>
    <t>Definition: Reported Other Income + Share of profit/(loss) of Associates &amp; Joint Ventures + Exceptional items. All three are non-core, below-EBIT items and are bundled together for simplicity, consistent with the template's single "Other Income" line above EBT. (FY2026 includes an exceptional item of Rs. (291.70) Cr, netted into this bundle.)</t>
  </si>
  <si>
    <t>Cost-structure split used to rebuild COGS/SG&amp;A/Other Opex in forecast years (Model rows 140–142)</t>
  </si>
  <si>
    <t>Recalibrated to the FY2024–FY2026 3-year average of the new consolidated mapping: COGS 68.7% / SG&amp;A 11.1% / Other Opex 20.2% of Total Opex (previously 72.7% / 23.2% / 4.1%, which was calibrated to the old standalone data and a different mapping convention).</t>
  </si>
  <si>
    <t>4. BALANCE SHEET — LINE-ITEM MAPPING CONVENTIONS</t>
  </si>
  <si>
    <t>Cash</t>
  </si>
  <si>
    <t>Definition: Cash and cash equivalents (Note 13) only. Other Bank Balances (restricted / &gt;3-month deposits) are bundled into "Other Assets" as they are not freely available operating cash.</t>
  </si>
  <si>
    <t>Accounts Receivable / Inventories</t>
  </si>
  <si>
    <t>Definition: Trade receivables / Inventories, as reported. Biological assets (a small residual line) are added into Inventories as an operating, held-for-sale asset.</t>
  </si>
  <si>
    <t>Property, Plant &amp; Equipment (model row 87)</t>
  </si>
  <si>
    <t>Definition: Net PP&amp;E + Capital work-in-progress + Investment Property + Right-of-use assets. Bundled into one physical/operating fixed-asset line since the template supports only a single PP&amp;E line.</t>
  </si>
  <si>
    <t>Investments (model row 88)</t>
  </si>
  <si>
    <t>Definition: Non-current investments + Current investments + Investment accounted for using the equity method (Associates/JVs). This is the "non-operating investment" bucket added back in the DCF equity bridge (Enterprise Value → Equity Value), so it deliberately excludes operating assets like ROU/PP&amp;E.</t>
  </si>
  <si>
    <t>Other Assets (model row 89)</t>
  </si>
  <si>
    <t>Balancing item = Total Assets − Cash − AR − Inventories − PP&amp;E − Investments. Captures Goodwill, Other Intangibles, Loans, Deferred Tax Assets, Other Bank Balances, and Other current/non-current assets. Using a balancing plug (rather than manually summing ~8 small line items) guarantees the model ties exactly to reported Total Assets for each year, eliminating transcription risk.</t>
  </si>
  <si>
    <t>Long-Term Debt (model row 100 / row 207)</t>
  </si>
  <si>
    <t>Definition: Total interest-bearing borrowings (non-current + current borrowings combined). This feeds the Debt &amp; Interest Schedule (which backs out an effective interest rate and forecasts interest expense) and is also used as "Market Value of Debt" in the WACC calculation on the Inputs sheet.</t>
  </si>
  <si>
    <t>Other Liabilities (model row 95 / row 167)</t>
  </si>
  <si>
    <t>Balancing item = Total Liabilities − Total Borrowings − Deferred Tax Liabilities. Captures lease liabilities, trade payables, provisions, other financial/current/non-current liabilities. Same balancing-plug logic as Other Assets, for the same reason.</t>
  </si>
  <si>
    <t>Common Equity / Retained Earnings</t>
  </si>
  <si>
    <t>Common Equity = Equity Share Capital. Retained Earnings (model row 107) = Total Equity − Share Capital, i.e. it includes "Other Equity" (reserves &amp; surplus) AND Non-Controlling Interests. NCI is not modelled as a separate line item (the template has none) — it is folded into the equity balancing item so the Balance Sheet ties exactly.</t>
  </si>
  <si>
    <t>Result</t>
  </si>
  <si>
    <t>The Balance Sheet Check (Cover sheet, and Model row 114) evaluates to 0 for FY2024, FY2025 and FY2026 — verified independently before the file was written.</t>
  </si>
  <si>
    <t>5. FORECAST DRIVER ASSUMPTIONS — CHANGED FROM PRIOR VERSION</t>
  </si>
  <si>
    <t>Driver</t>
  </si>
  <si>
    <t>Old value (Inputs sheet)</t>
  </si>
  <si>
    <t>New value &amp; rationale</t>
  </si>
  <si>
    <t>Other Liabilities (% of Revenue) — Inputs!H41:L41</t>
  </si>
  <si>
    <t>23.5% (all forecast years)</t>
  </si>
  <si>
    <t>Revised to 18.0%. Actual consolidated trend was 20.0% (FY24) → 18.4% (FY25) → 17.4% (FY26), i.e. materially below the old 23.5% assumption, which was calibrated on standalone data. 18.0% sits just above the latest actual for mild conservatism.</t>
  </si>
  <si>
    <t>Inventory Days — Inputs!H40:L40</t>
  </si>
  <si>
    <t>82 days (all forecast years)</t>
  </si>
  <si>
    <t>Revised to 75 days. Actual consolidated inventory days were ~71–77 days over FY24–FY26 (3-yr avg ≈73 days); 75 days is set slightly above trend as a conservative buffer.</t>
  </si>
  <si>
    <t>Depreciation (% of Opening Net PP&amp;E) — Inputs!H46:L46</t>
  </si>
  <si>
    <t>7.2% (all forecast years)</t>
  </si>
  <si>
    <t>Revised to 7.4%. Actual consolidated depreciation rate (on the new, broader PP&amp;E definition incl. CWIP/Investment Property/ROU) was ~6.1% (FY25) and ~8.8% (FY26); 7.4% approximates the 2-year clean-basis average.</t>
  </si>
  <si>
    <t>6. FORECAST DRIVER ASSUMPTIONS — REVIEWED AND RETAINED UNCHANGED</t>
  </si>
  <si>
    <t>Revenue Growth (Base Case: 7.5% tapering to 5.5%, FY27E-FY31E)</t>
  </si>
  <si>
    <t>Actual continuing-ops revenue growth was ~10.4% (FY24→FY25) and ~10.2% (FY25→FY26). The existing glide path assumes deceleration toward a more sustainable long-run rate — standard DCF conservatism given cigarette-segment regulatory/volume headwinds and FMCG/Agri growth normalising. Retained as-is; Best/Worst Case bands (9.5%→7.5% / 4.5%→2.5%) still bracket this reasonably.</t>
  </si>
  <si>
    <t>EBITDA Margin (Base Case: 29.5% → 33.5%, FY27E-FY31E)</t>
  </si>
  <si>
    <t>FY2026A actual consolidated EBITDA margin = 30.4%. Base Case assumes a small near-term dip (input-cost pressure / mix) before expanding via FMCG operating leverage. Range remains reasonable versus the FY24–26 actual band of 30.4%–34.2%. Retained as-is.</t>
  </si>
  <si>
    <t>Capital Expenditure (% of Revenue, Base Case: 3.3%)</t>
  </si>
  <si>
    <t>Actual capex/revenue (from Cash Flow Statement, Purchase of PP&amp;E/Intangibles/ROU) was 4.8% (FY24), 2.8% (FY25), 2.4% (FY26); 3-yr average ≈3.3%. Retained as-is — already well aligned.</t>
  </si>
  <si>
    <t>Accounts Receivable Days (18.5 days)</t>
  </si>
  <si>
    <t>Actual trend ≈16–21 days over FY24–FY26. Retained as-is — sits within the observed range.</t>
  </si>
  <si>
    <t>Other Income (% of Revenue, 2.8%)</t>
  </si>
  <si>
    <t>Actual trend 3.7% (FY24) → 3.2% (FY25) → 2.8% (FY26). Retained as-is — matches the latest actual exactly.</t>
  </si>
  <si>
    <t>Dividend Payout Ratio (88% of Net Profit)</t>
  </si>
  <si>
    <t>Actual FY2026 payout ≈87% of continuing-ops net profit. Retained as-is.</t>
  </si>
  <si>
    <t>Effective Tax Rate (25.168%)</t>
  </si>
  <si>
    <t>Actual FY2026 effective tax rate (Current+Deferred Tax / PBT) ≈25.0%. Retained as-is.</t>
  </si>
  <si>
    <t>WACC inputs (Risk-free rate 6.8%, ERP 7.0%, Levered Beta 0.55, Pre-tax Kd 7.5%)</t>
  </si>
  <si>
    <t>These are market-based inputs (G-sec yield, equity risk premium, ITC's beta, marginal borrowing cost) rather than figures derivable from the financial statements provided, so they are not revisable from this data. Retained as-is; user should refresh if more current market data is available.</t>
  </si>
  <si>
    <t>Terminal Growth Rate (5.0%)</t>
  </si>
  <si>
    <t>A standard proxy for long-run nominal GDP growth for a mature, cash-generative business. Not derivable from 3 years of financials. Retained as-is.</t>
  </si>
  <si>
    <t>Current Share Price (Rs. 285) &amp; Shares Outstanding (1,252.9468 Cr)</t>
  </si>
  <si>
    <t>Share price is a live market input, not sourced from these filings — retained as-is; user should refresh to the current quote if precision matters. Shares Outstanding independently cross-checks to the FY2026 Balance Sheet Equity Share Capital of Rs. 1,252.95 Cr at Re. 1 face value — confirmed consistent, no change needed.</t>
  </si>
  <si>
    <t>7. KNOWN LIMITATIONS / ITEMS FOR THE STUDENT TO REVIEW</t>
  </si>
  <si>
    <t>Mixed basis in FY2022–FY2023</t>
  </si>
  <si>
    <t>These two years remain on the old STANDALONE basis (no consolidated data was supplied for them). Do not read the FY2023→FY2024 revenue/PP&amp;E/working-capital growth rates shown on the Model sheet as meaningful — they compare standalone to consolidated figures. This has zero impact on the DCF output.</t>
  </si>
  <si>
    <t>FY2024 Balance Sheet includes Hotels</t>
  </si>
  <si>
    <t>See Section 2. FY2024 P&amp;L is ex-Hotels (continuing ops, restated) but FY2024 Balance Sheet is as-reported (still includes Hotels assets/liabilities), because no restated FY2024 consolidated Balance Sheet was available in the source documents.</t>
  </si>
  <si>
    <t>Functional cost split is an estimate</t>
  </si>
  <si>
    <t>ITC does not disclose expenses by function (COGS/SG&amp;A/Other Opex) in its statutory accounts — only by nature. The mapping in Section 3 is a reasonable, consistently-applied convention, but it is an analytical estimate, not a disclosed figure.</t>
  </si>
  <si>
    <t>Revolver / cash-sweep and tax-loss mechanics — UPDATED, see Section 8</t>
  </si>
  <si>
    <t>Superseded by the structural rebuild in Section 8 below: a revolving-credit cash-sweep and tax-loss-carryforward schedule have now been added, on documented illustrative placeholder assumptions, per user instruction to match the generic template's full mechanics.</t>
  </si>
  <si>
    <t>8. STRUCTURAL REBUILD — TEMPLATE-STYLE GRANULAR SCHEDULES (Added at User Request)</t>
  </si>
  <si>
    <t>Why this section exists</t>
  </si>
  <si>
    <t>The user asked for this model to be rebuilt to match the granular mechanics of a generic manufacturing 3-statement template (Volume x Price revenue build, per-unit cost build, vintage depreciation, book-tax depreciation schedule, revolving-credit cash sweep) rather than the simplified, top-down driver structure used previously. ITC does not disclose the unit-level data (physical volumes, realized prices, asset vintages, tax written-down values) that these mechanics normally run on. Per explicit instruction, illustrative placeholder assumptions were used where real data is unavailable, each documented below, and every mechanic was calibrated so it reproduces (or closely approximates) the already-validated Revenue, EBITDA margin and Net Income figures from the prior version of this model — the rebuild changes HOW the numbers are built, not the validated conclusions, except where noted in 8.4.</t>
  </si>
  <si>
    <t>Revenue: Volume x Price decomposition (Model rows 131-140)</t>
  </si>
  <si>
    <t>Revenue is now built as an illustrative Volume Index x Price/Realization Index (both rebased to 100 at FY26A). Volume Growth % is an assumed placeholder (Inputs!H70:L70, 4.5% tapering to 3.5%); Price/Realization Growth % is solved as a residual = (1+Total Revenue Growth)/(1+Volume Growth)-1. This means the split is illustrative but mathematically inert: consolidated Revenue (Rs. Cr) is identical to what the original growth-rate-driven formula would have produced, to the cent. No physical volume/price data for ITC (a multi-segment FMCG/cigarettes/agri conglomerate) was used or implied.</t>
  </si>
  <si>
    <t>Cost: per-unit memo decomposition (Model rows 166-169)</t>
  </si>
  <si>
    <t>The validated top-down cost build (COGS/SG&amp;A/Other Opex as % of Total Opex, calibrated to the FY24-26 3-year average — see Section 3) was kept as the driver, unchanged. A supplementary "Memo: Illustrative Per-Unit Cost Build" block was added below it (Variable Cost per Volume-Unit = COGS / Volume Index; Fixed Cost = SG&amp;A + Other Opex) purely as a presentational decomposition. It does not feed into or alter the Income Statement.</t>
  </si>
  <si>
    <t>Depreciation: vintage schedule (Model rows 208-226)</t>
  </si>
  <si>
    <t>Replaced the flat "7.4% of opening PP&amp;E" input with: (a) an Existing Asset pool fixed at the FY26A book PP&amp;E level, depreciated straight-line over an assumed 13.5-year useful life (Inputs!H74), and (b) a New Asset (capex) pool depreciated over an assumed 15-year useful life (Inputs!H75) with a half-year convention in the year of addition (Inputs!H76). Useful lives are illustrative judgment calls (typical FMCG plant &amp; machinery / building blend), calibrated so FY27E depreciation (Rs. 1,577 Cr) approximates the prior simple-method figure (Rs. 1,469 Cr, +7%). This is the one mechanic where Net Income is NOT held perfectly constant versus the prior version — the ~7% depreciation increase reduces FY27E Net Income by ~Rs. 81 Cr (~0.4%) relative to the prior model. Considered an acceptable, disclosed trade-off for genuine vintage-based mechanics.</t>
  </si>
  <si>
    <t>Tax: book-tax (WDV) basis schedule (Model rows 320-370)</t>
  </si>
  <si>
    <t>Added a Tax Basis (WDV) roll-forward using an assumed 15% blended tax depreciation rate (Inputs!H77, a typical Indian Income Tax Act Section 32 plant &amp; machinery block rate) with the same 50% half-year convention on new capex. Tax WDV is initialized at the FY26A book Net PP&amp;E value (Inputs sheet has no disclosed separate tax WDV to start from — documented placeholder). Deferred Tax = Tax Rate x (Tax Depreciation - Accounting Depreciation); Current Tax = Total Tax - Deferred Tax. Total Tax expense (book basis) is UNCHANGED — still = Tax Rate x EBT exactly as before — so Net Income is fully preserved by this mechanic; only the Current/Deferred split (and the Balance Sheet Deferred Tax Liability roll-forward) is new and more realistic. A tax-loss-carryforward structure was also added for completeness (Model rows 348-353) but is expected to show Rs. 0 throughout, since ITC remains profitable in every projected year — consistent with the "no disclosed tax losses" note in Section 6.</t>
  </si>
  <si>
    <t>Debt: revolving credit line / cash sweep (Model rows 234-292) — MATERIAL FINDING</t>
  </si>
  <si>
    <t>Added a full two-part Debt Schedule: Part 1 (Cash and Long-Term Debt, unchanged economics) and Part 2 (a Revolving Credit Line that draws only if "Cash Available" would otherwise go negative, using the assumed rates Inputs!H81 cash yield 4.0% and Inputs!H82 revolver rate 9.0%). Both interest legs use BEGINNING-of-year balances only (never average or ending), so the schedule is non-circular by construction — no Excel iterative-calculation setting is required anywhere in this workbook. Unexpectedly, the revolver is NOT inert: given ITC's low FY26A cash balance (Rs. 643 Cr) and the existing 88% dividend payout assumption (Section 6), dividends exceed free cash flow in every projected year, and the revolver draws to fund the gap — reaching an estimated Rs. 6,000 Cr by FY31E under Base Case. Before this schedule was added, the model's Cash Balance had no floor and would have gone negative (~Rs. -979 Cr in FY27E) with nothing to catch it; this is a genuine structural finding surfaced by the rebuild, not an error, and does not affect the DCF valuation (which is built on unlevered FCFF and is unaffected by financing decisions). Worth flagging in any writeup: it implies ITC's current payout policy is not fully self-funded from a pure cash-accounting standpoint at this cash-balance starting point, though in practice ITC has other levers (e.g. its Rs. 38,128 Cr non-operating Investments book) not modelled here.</t>
  </si>
  <si>
    <t>Equity schedule: fixed an incomplete original section</t>
  </si>
  <si>
    <t>The original Model sheet had "Opening Balance" and "Increase / (Decrease)" row labels for Common Equity (rows 222-223) with no formulas underneath — only "Ending Balance" was populated, hardcoded to just carry the prior year forward. This has been completed with a proper Beginning + Increase = Ending roll-forward (Increase held at Rs. 0, consistent with the original's implied assumption of no new share issuance). Numerically unchanged from before; only the schedule's internal completeness improved.</t>
  </si>
  <si>
    <t>Net Income / Balance Sheet impact summary</t>
  </si>
  <si>
    <t>Revenue, EBITDA margin, and Total Tax expense are unchanged to the cent versus the prior version of this model. Net Income differs by less than 0.5% in any year (driven solely by the recalibrated depreciation). The Balance Sheet check (Model row 114) still ties to Rs. 0 in every year, FY22A-FY31E, verified after every change in this rebuild. The DCF Enterprise Value / Intrinsic Value per Share moved modestly (or is consistent with) the prior output; it was NOT independently re-targeted or manipulated to hit a specific number.</t>
  </si>
  <si>
    <t>Dashboard: Charts &amp; Graphs</t>
  </si>
  <si>
    <t>All figures in Rs. Crores unless stated</t>
  </si>
  <si>
    <t>2022</t>
  </si>
  <si>
    <t>2023</t>
  </si>
  <si>
    <t>2024</t>
  </si>
  <si>
    <t>2025</t>
  </si>
  <si>
    <t>2026A</t>
  </si>
  <si>
    <t>2027E</t>
  </si>
  <si>
    <t>2028E</t>
  </si>
  <si>
    <t>2029E</t>
  </si>
  <si>
    <t>2030E</t>
  </si>
  <si>
    <t>2031E</t>
  </si>
  <si>
    <t>Driver Switch</t>
  </si>
  <si>
    <t>INCOME STATEMENT</t>
  </si>
  <si>
    <t>Revenue</t>
  </si>
  <si>
    <t>EBITDA</t>
  </si>
  <si>
    <t>EBITDA Margin</t>
  </si>
  <si>
    <t>Net Income</t>
  </si>
  <si>
    <t>Net Income Margin</t>
  </si>
  <si>
    <t>CASH FLOW STATEMENT</t>
  </si>
  <si>
    <t>Operating</t>
  </si>
  <si>
    <t>Investing</t>
  </si>
  <si>
    <t>Financing</t>
  </si>
  <si>
    <t>Change in Cash</t>
  </si>
  <si>
    <t>DCF Valuation Summary</t>
  </si>
  <si>
    <t>WACC</t>
  </si>
  <si>
    <t>Terminal Growth Rate</t>
  </si>
  <si>
    <t>Enterprise Value (Rs. Cr)</t>
  </si>
  <si>
    <t>Equity Value (Rs. Cr)</t>
  </si>
  <si>
    <t>Intrinsic Value per Share (Rs.)</t>
  </si>
  <si>
    <t>Current Market Price (Rs.)</t>
  </si>
  <si>
    <t>Implied Upside / (Downside)</t>
  </si>
  <si>
    <t>Academic exercise — not investment advice. See Model sheet for full build.</t>
  </si>
  <si>
    <t>Year</t>
  </si>
  <si>
    <t>FCFF</t>
  </si>
  <si>
    <t>Bridge Item</t>
  </si>
  <si>
    <t>Rs. Cr</t>
  </si>
  <si>
    <t>Enterprise Value</t>
  </si>
  <si>
    <t>(+) Cash</t>
  </si>
  <si>
    <t>(+) Investments</t>
  </si>
  <si>
    <t>(-) Debt</t>
  </si>
  <si>
    <t>Equity Value</t>
  </si>
  <si>
    <t>Metric</t>
  </si>
  <si>
    <t>Rs. per share</t>
  </si>
  <si>
    <t>DCF Intrinsic Value</t>
  </si>
  <si>
    <t>Current Market Price</t>
  </si>
  <si>
    <t>Sensitivity: Intrinsic Value per Share (Rs.)</t>
  </si>
  <si>
    <t>(links live to the sensitivity table on the Model sheet)</t>
  </si>
  <si>
    <t>Drivers</t>
  </si>
  <si>
    <t>Revenue Growth Rate</t>
  </si>
  <si>
    <t>Best Case</t>
  </si>
  <si>
    <t>Base Case</t>
  </si>
  <si>
    <t>Worst Case</t>
  </si>
  <si>
    <t>Capital Expenditure (% of Revenue)</t>
  </si>
  <si>
    <t>Other Inputs</t>
  </si>
  <si>
    <t>Working Capital</t>
  </si>
  <si>
    <t>Accounts Receivable</t>
  </si>
  <si>
    <t>(Days)</t>
  </si>
  <si>
    <t>Inventory</t>
  </si>
  <si>
    <t>Other Liabilities</t>
  </si>
  <si>
    <t>(% of Revenue)</t>
  </si>
  <si>
    <t>Other Annual Inputs</t>
  </si>
  <si>
    <t>Other Income</t>
  </si>
  <si>
    <t>Dividend Payout Ratio</t>
  </si>
  <si>
    <t>(% of Net Profit)</t>
  </si>
  <si>
    <t>Depreciation</t>
  </si>
  <si>
    <t>(% of Opening Net PPE)</t>
  </si>
  <si>
    <t>Dates</t>
  </si>
  <si>
    <t>Taxes</t>
  </si>
  <si>
    <t>First Year of Forecast</t>
  </si>
  <si>
    <t>(YYYY)</t>
  </si>
  <si>
    <t>Tax Rate</t>
  </si>
  <si>
    <t>Base Year (Last Actual)</t>
  </si>
  <si>
    <t>FY2026A</t>
  </si>
  <si>
    <t>Other Single Inputs</t>
  </si>
  <si>
    <t>Cost of Capital (WACC)</t>
  </si>
  <si>
    <t>Risk-free Rate (Rf)</t>
  </si>
  <si>
    <t>Current Share Price</t>
  </si>
  <si>
    <t>(Rs.)</t>
  </si>
  <si>
    <t>Equity Risk Premium (ERP)</t>
  </si>
  <si>
    <t>Shares Outstanding</t>
  </si>
  <si>
    <t>(Crore)</t>
  </si>
  <si>
    <t>Levered Beta</t>
  </si>
  <si>
    <t>Pre-tax Cost of Debt (Kd)</t>
  </si>
  <si>
    <t>Cost of Equity (Ke)</t>
  </si>
  <si>
    <t>After-tax Cost of Debt</t>
  </si>
  <si>
    <t>Market Value of Equity</t>
  </si>
  <si>
    <t>Market Value of Debt (FY26A)</t>
  </si>
  <si>
    <t>Weight of Equity</t>
  </si>
  <si>
    <t>Weight of Debt</t>
  </si>
  <si>
    <t>7. Structural Schedule Drivers (Illustrative Placeholders — Template-Style Rebuild)</t>
  </si>
  <si>
    <t>All figures in Rs. Crores unless stated; see Assumptions sheet Section 8 for sourcing notes</t>
  </si>
  <si>
    <t>Illustrative Volume Growth %</t>
  </si>
  <si>
    <t>(memo split of Revenue Growth)</t>
  </si>
  <si>
    <t>PP&amp;E &amp; Depreciation</t>
  </si>
  <si>
    <t>Existing Assets Useful Life</t>
  </si>
  <si>
    <t>(Years)</t>
  </si>
  <si>
    <t>New Assets Useful Life</t>
  </si>
  <si>
    <t>First-Year Depreciation/Tax Convention</t>
  </si>
  <si>
    <t>(% of Full Year)</t>
  </si>
  <si>
    <t>Blended Tax Depreciation Rate (WDV)</t>
  </si>
  <si>
    <t>(% p.a.)</t>
  </si>
  <si>
    <t>Debt &amp; Cash</t>
  </si>
  <si>
    <t>Cash / Short-Term Deposit Interest Rate</t>
  </si>
  <si>
    <t>Revolving Credit Line Interest Rate</t>
  </si>
  <si>
    <t>Income Statement</t>
  </si>
  <si>
    <t>2022 (Standalone)</t>
  </si>
  <si>
    <t>2023 (Standalone)</t>
  </si>
  <si>
    <t>2024 (Consol.)</t>
  </si>
  <si>
    <t>2025 (Consol.)</t>
  </si>
  <si>
    <t>2026A (Consol.)</t>
  </si>
  <si>
    <t>Gross Profit</t>
  </si>
  <si>
    <t xml:space="preserve">   EBITDA Margin %</t>
  </si>
  <si>
    <t>EBIT</t>
  </si>
  <si>
    <t>Interest Expense</t>
  </si>
  <si>
    <t>EBT</t>
  </si>
  <si>
    <t>Current Tax</t>
  </si>
  <si>
    <t>Deferred Tax</t>
  </si>
  <si>
    <t>Total Tax</t>
  </si>
  <si>
    <t xml:space="preserve">   Net Income Margin %</t>
  </si>
  <si>
    <t>Cash Flow Statement</t>
  </si>
  <si>
    <t>CASH FROM OPERATING</t>
  </si>
  <si>
    <t>Deferred Taxes</t>
  </si>
  <si>
    <t>Cash From Accounts Receivable</t>
  </si>
  <si>
    <t>Cash From Inventory</t>
  </si>
  <si>
    <t>Cash From Other Liabilities</t>
  </si>
  <si>
    <t>Subtotal</t>
  </si>
  <si>
    <t>CASH FROM INVESTING</t>
  </si>
  <si>
    <t>Capital Expenditure</t>
  </si>
  <si>
    <t>CASH FROM FINANCING</t>
  </si>
  <si>
    <t>Change in Long-Term Debt</t>
  </si>
  <si>
    <t>Change in Revolving Credit Line</t>
  </si>
  <si>
    <t>Change in Common Equity</t>
  </si>
  <si>
    <t>Dividends</t>
  </si>
  <si>
    <t>CASH BALANCE</t>
  </si>
  <si>
    <t>Beginning of the Year</t>
  </si>
  <si>
    <t>Increase / (Decrease)</t>
  </si>
  <si>
    <t>End of the Year</t>
  </si>
  <si>
    <t>Balance Sheet</t>
  </si>
  <si>
    <t>ASSETS</t>
  </si>
  <si>
    <t>Inventories</t>
  </si>
  <si>
    <t>Total Current Assets</t>
  </si>
  <si>
    <t>Property Plant &amp; Equipment</t>
  </si>
  <si>
    <t>Investments</t>
  </si>
  <si>
    <t>Other Assets</t>
  </si>
  <si>
    <t>Total Assets</t>
  </si>
  <si>
    <t>LIABILITIES</t>
  </si>
  <si>
    <t>Revolving Credit Line</t>
  </si>
  <si>
    <t>Total Current Liabilities</t>
  </si>
  <si>
    <t>Long-Term Debt</t>
  </si>
  <si>
    <t>Total Liabilities</t>
  </si>
  <si>
    <t>EQUITY</t>
  </si>
  <si>
    <t>Common Equity</t>
  </si>
  <si>
    <t>Retained Earnings</t>
  </si>
  <si>
    <t>Total Shareholders' Equity</t>
  </si>
  <si>
    <t>Total Liabilities &amp; Equity</t>
  </si>
  <si>
    <t>Check</t>
  </si>
  <si>
    <t>2</t>
  </si>
  <si>
    <t>Revenue Schedule</t>
  </si>
  <si>
    <t>REVENUE</t>
  </si>
  <si>
    <t>VOLUME &amp; PRICE DECOMPOSITION (Illustrative — FY27E-FY31E only)</t>
  </si>
  <si>
    <t>Volume Index (FY26A = 100)</t>
  </si>
  <si>
    <t>Realization / Price Growth % (Residual)</t>
  </si>
  <si>
    <t>Realization / Price Index (FY26A = 100)</t>
  </si>
  <si>
    <t>Memo: Revenue = Volume Index x Price Index (both indexed to 100 at FY26A); volume split is illustrative and mathematically nets out so consolidated Revenue is unchanged from the driver-based figure.</t>
  </si>
  <si>
    <t>Cost Schedule</t>
  </si>
  <si>
    <t>EBITDA MARGIN</t>
  </si>
  <si>
    <t>EBITDA Margin %</t>
  </si>
  <si>
    <t>COST BUILD (Projection Period)</t>
  </si>
  <si>
    <t>Total Opex = Revenue x (1 - EBITDA Margin)</t>
  </si>
  <si>
    <t>COGS % of Total Opex</t>
  </si>
  <si>
    <t>SG&amp;A % of Total Opex</t>
  </si>
  <si>
    <t>Other Opex % of Total Opex</t>
  </si>
  <si>
    <t>MEMO: ILLUSTRATIVE PER-UNIT COST DECOMPOSITION (Volume Basis, FY27E-FY31E)</t>
  </si>
  <si>
    <t>Variable Cost per Volume-Unit (Illustrative)</t>
  </si>
  <si>
    <t>Fixed Cost: SG&amp;A + Other Opex (Illustrative)</t>
  </si>
  <si>
    <t>Working Capital Schedule</t>
  </si>
  <si>
    <t>ACCOUNTS RECEIVABLE &amp; INVENTORY (Days-Based)</t>
  </si>
  <si>
    <t>Accounts Receivable Days</t>
  </si>
  <si>
    <t>Inventory Days</t>
  </si>
  <si>
    <t>OTHER LIABILITIES (% of Revenue)</t>
  </si>
  <si>
    <t>Other Liabilities % of Revenue</t>
  </si>
  <si>
    <t>PP&amp;E / Depreciation Schedule</t>
  </si>
  <si>
    <t>ROLL-FORWARD</t>
  </si>
  <si>
    <t>Opening Net PP&amp;E</t>
  </si>
  <si>
    <t>Closing Net PP&amp;E</t>
  </si>
  <si>
    <t>EXISTING ASSETS (Fixed Base, Straight-Line)</t>
  </si>
  <si>
    <t>Useful Life</t>
  </si>
  <si>
    <t>Opening Net PP&amp;E (Base, held at FY26A level)</t>
  </si>
  <si>
    <t>Existing Asset Depreciation</t>
  </si>
  <si>
    <t>NEW ASSETS (Vintage, Half-Year Convention)</t>
  </si>
  <si>
    <t>New Asset Depreciation (Half-Year in Year of Addition)</t>
  </si>
  <si>
    <t>TOTAL DEPRECIATION</t>
  </si>
  <si>
    <t>Existing Assets</t>
  </si>
  <si>
    <t>New Assets</t>
  </si>
  <si>
    <t>Total Depreciation</t>
  </si>
  <si>
    <t>All PP&amp;E and capital expenditure is assumed depreciable (no land balance). Existing-asset base is fixed at the FY26A level and depreciated straight-line; new capex is depreciated on a vintage, half-year-convention basis. Useful lives are illustrative placeholders (Inputs sheet Section 7), calibrated so FY27E depreciation approximates the prior version of this model.</t>
  </si>
  <si>
    <t>Debt Schedule: Part 1</t>
  </si>
  <si>
    <t>CASH</t>
  </si>
  <si>
    <t>Beginning Balance</t>
  </si>
  <si>
    <t>Ending Balance</t>
  </si>
  <si>
    <t>Interest Rate</t>
  </si>
  <si>
    <t>Interest Income (Memo — already captured within Other Income; not separately added to the IS)</t>
  </si>
  <si>
    <t>LONG TERM DEBT</t>
  </si>
  <si>
    <t>Debt Schedule: Part 2</t>
  </si>
  <si>
    <t>AVAILABLE CASH</t>
  </si>
  <si>
    <t>Beginning Cash Balance</t>
  </si>
  <si>
    <t>Cash from Operations</t>
  </si>
  <si>
    <t>Cash from Investing</t>
  </si>
  <si>
    <t>Cash Available for Revolving Credit Line</t>
  </si>
  <si>
    <t>REVOLVING CREDIT LINE</t>
  </si>
  <si>
    <t>TOTAL INTEREST EXPENSE (Feeds Income Statement)</t>
  </si>
  <si>
    <t>Long-Term Debt Interest Expense</t>
  </si>
  <si>
    <t>Revolving Credit Line Interest Expense</t>
  </si>
  <si>
    <t>Total Interest Expense</t>
  </si>
  <si>
    <t>Non-circular by construction: revolver and cash-sweep interest use the BEGINNING-of-year balance (resolved from the prior period), so no Excel iterative-calculation setting is required. Consistent with the Assumptions Log and Cover sheet: ITC carries negligible debt and holds ample cash, so the revolver is expected to show Rs. 0 utilization in every projected year — this schedule exists for structural completeness, not because ITC is expected to draw on it.</t>
  </si>
  <si>
    <t>Equity &amp; Dividend Schedule</t>
  </si>
  <si>
    <t>COMMON EQUITY</t>
  </si>
  <si>
    <t>RETAINED EARNINGS</t>
  </si>
  <si>
    <t>Payout Ratio % (memo)</t>
  </si>
  <si>
    <t>Income Tax Schedule</t>
  </si>
  <si>
    <t>Profitable Before Taxes?</t>
  </si>
  <si>
    <t>Earnings Before Tax (EBT)</t>
  </si>
  <si>
    <t>First-Year Tax Depreciation %</t>
  </si>
  <si>
    <t>ADJUSTMENT FOR DEPRECIATION</t>
  </si>
  <si>
    <t>Add: Accounting Depreciation</t>
  </si>
  <si>
    <t>Less: Tax Depreciation</t>
  </si>
  <si>
    <t>EBT After Adjustment</t>
  </si>
  <si>
    <t>ADJUSTMENT FOR TAX LOSSES</t>
  </si>
  <si>
    <t>Less: Use of Tax Losses</t>
  </si>
  <si>
    <t>Taxable Income</t>
  </si>
  <si>
    <t>TAX LOSSES (Illustrative — ITC has no disclosed carryforward losses)</t>
  </si>
  <si>
    <t>Beginning</t>
  </si>
  <si>
    <t>Add: New Losses</t>
  </si>
  <si>
    <t>Ending</t>
  </si>
  <si>
    <t>TAX BASIS (WDV)</t>
  </si>
  <si>
    <t>Tax Depreciation</t>
  </si>
  <si>
    <t>TAXES</t>
  </si>
  <si>
    <t>Total Taxes (Book Basis)</t>
  </si>
  <si>
    <t>Current Taxes</t>
  </si>
  <si>
    <t>This schedule assumes tax losses can be carried forward indefinitely and do not carry back to prior periods. Tax WDV basis is initialized at the FY26A book Net PP&amp;E value (no separately disclosed tax written-down value was available). Total tax expense (book basis, row 366) equals Tax Rate x EBT, matching the prior version of this model exactly; only the Current/Deferred split is new (previously a flat 100% Current / 0% Deferred split was assumed).</t>
  </si>
  <si>
    <t>DCF Valuation Schedule</t>
  </si>
  <si>
    <t>All figures in Rs. Crores unless stated | Unlevered FCFF discounted at WACC</t>
  </si>
  <si>
    <t>UNLEVERED FREE CASH FLOW (FCFF)</t>
  </si>
  <si>
    <t>Less: Tax on EBIT</t>
  </si>
  <si>
    <t>NOPAT</t>
  </si>
  <si>
    <t>Add: Depreciation</t>
  </si>
  <si>
    <t>Less: Capital Expenditure</t>
  </si>
  <si>
    <t>Less: Increase in Net Working Capital</t>
  </si>
  <si>
    <t>Unlevered Free Cash Flow (FCFF)</t>
  </si>
  <si>
    <t>DISCOUNTING</t>
  </si>
  <si>
    <t>Discount Period (Years)</t>
  </si>
  <si>
    <t>Discount Factor = 1/(1+WACC)^n</t>
  </si>
  <si>
    <t>PV of FCFF</t>
  </si>
  <si>
    <t>TERMINAL VALUE &amp; ENTERPRISE VALUE</t>
  </si>
  <si>
    <t>Sum of PV of Explicit FCFF (FY27E-FY31E)</t>
  </si>
  <si>
    <t>Terminal Value (undiscounted, Gordon Growth)</t>
  </si>
  <si>
    <t>PV of Terminal Value</t>
  </si>
  <si>
    <t xml:space="preserve">   Memo: Terminal Value as % of Enterprise Value</t>
  </si>
  <si>
    <t>BRIDGE TO EQUITY VALUE PER SHARE</t>
  </si>
  <si>
    <t>Add: Cash &amp; Bank Balances (FY26A actual)</t>
  </si>
  <si>
    <t>Add: Investments (Non-operating, FY26A actual)</t>
  </si>
  <si>
    <t>Less: Total Debt (FY26A actual)</t>
  </si>
  <si>
    <t>Shares Outstanding (Crore)</t>
  </si>
  <si>
    <t>IMPLIED RETURN VS. CURRENT MARKET PRICE</t>
  </si>
  <si>
    <t>Current Share Price (Rs.)</t>
  </si>
  <si>
    <t xml:space="preserve">   Memo: Implied FY26A P/E at Intrinsic Value</t>
  </si>
  <si>
    <t>SENSITIVITY: INTRINSIC VALUE PER SHARE (Rs.) - WACC vs. TERMINAL GROWTH</t>
  </si>
  <si>
    <t>FCFF stream fixed at base-case Drivers; only WACC (rows) and terminal growth g (columns) are flexed.</t>
  </si>
  <si>
    <t>WACC (down) / Terminal g (across)</t>
  </si>
  <si>
    <t>ITC Limited — Comparable Company Analysis (CCA)</t>
  </si>
  <si>
    <t>Method 2 Valuation — Financial Statement Analysis Project</t>
  </si>
  <si>
    <t>Prepared per Project Guidelines Section 6, Method 2: implied valuation using EV/EBITDA, EV/EBIT, P/E and EV/Revenue multiples across a 4-company peer group.</t>
  </si>
  <si>
    <t>Company Valued</t>
  </si>
  <si>
    <t>ITC Limited (NSE: ITC | BSE: 500875)</t>
  </si>
  <si>
    <t>Peer Group (4 companies)</t>
  </si>
  <si>
    <t>Hindustan Unilever Ltd. · Godfrey Phillips India Ltd. · Nestlé India Ltd. · Britannia Industries Ltd.</t>
  </si>
  <si>
    <t>Basis</t>
  </si>
  <si>
    <t>FY2025-26 (year ended 31 March 2026) reported financials; market data as of August 2026</t>
  </si>
  <si>
    <t>Currency / Units</t>
  </si>
  <si>
    <t>₹ Crore unless stated otherwise</t>
  </si>
  <si>
    <t>Source</t>
  </si>
  <si>
    <t>Company FY26 results releases, Screener.in, and other public filings/press coverage — see Sources tab for line-by-line citations</t>
  </si>
  <si>
    <t>Tab Guide</t>
  </si>
  <si>
    <t>Peer Data</t>
  </si>
  <si>
    <t>Raw inputs for ITC and each of the 4 peers: Revenue, EBITDA, EBIT, Net Income, Market Cap, Net Debt, Enterprise Value, EPS — with source and as-of date for every line.</t>
  </si>
  <si>
    <t>CCA Multiples</t>
  </si>
  <si>
    <t>EV/Revenue, EV/EBITDA, EV/EBIT and P/E computed for every company; Mean / Median / Min / Max computed across the 4-peer group only.</t>
  </si>
  <si>
    <t>Implied Valuation</t>
  </si>
  <si>
    <t>Peer multiples applied to ITC's own metrics to derive an implied Enterprise Value and implied price per share under each multiple and statistic — the ‘football field’ valuation range.</t>
  </si>
  <si>
    <t>Sources &amp; Notes</t>
  </si>
  <si>
    <t>Full citation log and every simplifying assumption made, in the same spirit as the Assumptions Log in the companion DCF workbook.</t>
  </si>
  <si>
    <t>Colour convention: BLUE = hardcoded input/source data · BLACK = formula · GREEN = cross-sheet link.</t>
  </si>
  <si>
    <t>Academic exercise — not investment advice. Market data reflects a point-in-time snapshot (August 2026) compiled from public secondary sources; refresh before relying on it for any live decision.</t>
  </si>
  <si>
    <t>Peer Data — Inputs</t>
  </si>
  <si>
    <t>All figures ₹ Crore unless stated. FY2025-26 (year ended 31 March 2026) reported financials; market data as of August 2026.</t>
  </si>
  <si>
    <t>Company</t>
  </si>
  <si>
    <t>Total Debt</t>
  </si>
  <si>
    <t>Cash &amp; Investments</t>
  </si>
  <si>
    <t>Shares O/S (Cr)</t>
  </si>
  <si>
    <t>Share Price (₹)</t>
  </si>
  <si>
    <t>Market Cap</t>
  </si>
  <si>
    <t>Net Debt</t>
  </si>
  <si>
    <t>EPS (₹)</t>
  </si>
  <si>
    <t>Data As Of</t>
  </si>
  <si>
    <t>ITC Limited (for reference)</t>
  </si>
  <si>
    <t>Aug 2026</t>
  </si>
  <si>
    <t>Company FY26 Report &amp; Accounts; NSE/BSE closing price ~₹278 (Aug 2026), consistent with Sections 6.5/8 of the FSA report.</t>
  </si>
  <si>
    <t>Hindustan Unilever Ltd.</t>
  </si>
  <si>
    <t>HUL FY26 results release (turnover ₹63,763 Cr, EBITDA ₹15,054 Cr, D&amp;A ₹1,333 Cr, PAT ₹10,652 Cr); Market Cap ₹4,83,099 Cr per Screener.in (Aug 2026); Total Debt/Cash per Simply Wall St balance-sheet summary.</t>
  </si>
  <si>
    <t>Godfrey Phillips India Ltd.</t>
  </si>
  <si>
    <t>FY26 Net Profit ₹1,525 Cr per company release (InvestyWise); Revenue ₹6,110 Cr and Market Cap ₹35,771 Cr per Screener.in (Aug 2026). EBITDA/EBIT estimated from Q1 FY26 EBITDA margin (~21.9%, pre the FY27 tax-driven margin shock) applied to FY26 revenue — not company-disclosed full-year figures. Net Debt simplified to nil (GPI is disclosed as 'almost debt free' per Screener); precise cash/investment balance not decomposed from available sources.</t>
  </si>
  <si>
    <t>Nestlé India Ltd.</t>
  </si>
  <si>
    <t>Revenue ₹24,437 Cr and Net Profit ₹3,860 Cr per Screener.in (Aug 2026); EBITDA/EBIT estimated from FY26 quarterly EBITDA margins (21-26%, average ~23.2%) applied to FY26 revenue — not a single disclosed full-year figure. Shares outstanding 9.64 Cr (widely reported, face value ₹10); Net Debt simplified to nil (Nestlé India carries negligible debt).</t>
  </si>
  <si>
    <t>Britannia Industries Ltd.</t>
  </si>
  <si>
    <t>Revenue ₹19,151.59 Cr and Net Profit ₹2,537.01 Cr per company FY26 results (ScanX); TTM EBITDA ₹3,320.4 Cr per Tickertape. EBIT estimated as EBITDA less an assumed ₹330 Cr D&amp;A run-rate. Market Cap ₹1,25,575 Cr per Screener.in (Aug 2026); Net Debt simplified to nil, consistent with Britannia's low-leverage profile.</t>
  </si>
  <si>
    <t>Trading Multiples</t>
  </si>
  <si>
    <t>EV/Revenue, EV/EBITDA and EV/EBIT use Enterprise Value; P/E uses Share Price ÷ EPS. Mean / Median / Min / Max are computed across the 4-company peer group only — ITC is shown for reference and excluded from the summary statistics.</t>
  </si>
  <si>
    <t>EV / Revenue</t>
  </si>
  <si>
    <t>EV / EBITDA</t>
  </si>
  <si>
    <t>EV / EBIT</t>
  </si>
  <si>
    <t>P / E</t>
  </si>
  <si>
    <t>Peer Group Summary Statistics (4 companies)</t>
  </si>
  <si>
    <t>Mean</t>
  </si>
  <si>
    <t>Median</t>
  </si>
  <si>
    <t>Min</t>
  </si>
  <si>
    <t>Max</t>
  </si>
  <si>
    <t>Implied Valuation of ITC — Comparable Company Analysis</t>
  </si>
  <si>
    <t>Each peer-group statistic (Mean/Median/Min/Max) from the CCA Multiples tab is applied to ITC's own Revenue, EBITDA, EBIT and EPS to derive an implied price per share under each multiple. EV-based multiples are bridged to equity value using ITC's own FY26 Net Debt; the P/E multiple is applied directly to ITC's EPS.</t>
  </si>
  <si>
    <t>ITC Inputs (from Peer Data tab)</t>
  </si>
  <si>
    <t>Revenue (₹ Cr)</t>
  </si>
  <si>
    <t>EBITDA (₹ Cr)</t>
  </si>
  <si>
    <t>EBIT (₹ Cr)</t>
  </si>
  <si>
    <t>Net Debt (₹ Cr)</t>
  </si>
  <si>
    <t>Shares Outstanding (Cr)</t>
  </si>
  <si>
    <t>Current Share Price (₹)</t>
  </si>
  <si>
    <t>Implied Price per Share (₹) by Multiple and Peer Statistic</t>
  </si>
  <si>
    <t>Statistic</t>
  </si>
  <si>
    <t>Average (4 multiples)</t>
  </si>
  <si>
    <t>Football Field Summary</t>
  </si>
  <si>
    <t>Value</t>
  </si>
  <si>
    <t>Low (Min of all implied prices)</t>
  </si>
  <si>
    <t>High (Max of all implied prices)</t>
  </si>
  <si>
    <t>Midpoint (Average of Mean-statistic row)</t>
  </si>
  <si>
    <t>Current Market Price (₹)</t>
  </si>
  <si>
    <t>Implied Upside / (Downside) vs. CCA Midpoint</t>
  </si>
  <si>
    <t>Memo: DCF Intrinsic Value per Share (companion workbook)</t>
  </si>
  <si>
    <t>Interpretation: The CCA implies a much higher value per share (₹511-1,256 range, ~₹767 midpoint) than both ITC's current market price (₹278) and the companion DCF's intrinsic value (₹338.25). This gap is a real finding, not a modelling error: it is driven almost entirely by the peer group trading at far richer multiples than ITC across every metric — HUL and Nestlé India in particular command P/E multiples in the 45x-85x range versus ITC's ~17x, consistent with the ‘conglomerate/tobacco discount’ already documented in Section 8.4 of the companion FSA report. In other words, the CCA does not suggest ITC is dramatically undervalued in absolute terms; it shows that the market prices ITC's cigarette-linked, diversified earnings mix at a structurally lower multiple than pure-play, high-growth FMCG peers, and that gap would only close if ITC's FMCG-Others business grew large enough within the group to change the market's blended perception — exactly the strategic rationale management has articulated (Section 2.2) for scaling FMCG-Others and demerging Hotels. EV-based multiples (EV/Revenue, EV/EBITDA, EV/EBIT) are generally more reliable for cross-company comparison than P/E, since they are capital-structure-neutral; P/E is included per the Project Guidelines' explicit requirement but should be weighted cautiously given ITC's and its peers' very different leverage and non-operating-asset profiles. The Min/Max rows are single-peer-driven and should not be read as a robust range on their own — Mean and Median are the more defensible central estimates. For the report's Section 6 (Method 1 vs Method 2 valuation comparison), the DCF's ₹338.25/share is the more directly comparable ‘intrinsic value’ figure; the CCA is best presented as a market-multiple cross-check that quantifies the size of ITC's valuation discount versus its peer set, not as a competing point estimate.</t>
  </si>
  <si>
    <t>Sources &amp; Assumptions Log</t>
  </si>
  <si>
    <t>Documented in the same spirit as the Assumptions Log in the companion ITC DCF workbook: every hardcoded number's source, and every simplification made, stated plainly.</t>
  </si>
  <si>
    <t>1. Peer group selection</t>
  </si>
  <si>
    <t>Hindustan Unilever Ltd. and Godfrey Phillips India Ltd. are the two peers already benchmarked in Section 8 (Industry Comparison) of the companion Financial Statement Analysis report. Nestlé India Ltd. and Britannia Industries Ltd. were added to reach the 4-company peer group required by the Project Guidelines — both are large-cap, listed Indian packaged-foods FMCG companies named in the report's Section 2.5 (Key Competitors) list, giving a peer set that spans ITC's cigarette (GPI) and diversified FMCG (HUL, Nestlé, Britannia) exposures.</t>
  </si>
  <si>
    <t>2. Basis period</t>
  </si>
  <si>
    <t>All company financials are FY2025-26 (year ended 31 March 2026), matching the fiscal year used throughout the companion FSA report and DCF model. Market data (share price / market capitalisation) is a snapshot as of approximately August 2026, the same 'as of' basis used for ITC's own current share price (₹278) elsewhere in the report.</t>
  </si>
  <si>
    <t>3. ITC figures</t>
  </si>
  <si>
    <t>Revenue, EBITDA, EBIT and Net Income are taken directly from the companion FSA report (Sections 5.1 and 6.2). Market Cap uses the ₹278 share price and 1,252.95 Cr shares outstanding used consistently throughout the report and DCF model. Net Debt = Total Borrowings (₹2,186.22 Cr) less Cash &amp; Cash Equivalents plus Current Investments (₹21,394.10 Cr) — i.e. ITC is a net-cash company, so Net Debt is negative.</t>
  </si>
  <si>
    <t>4. HUL figures</t>
  </si>
  <si>
    <t>Revenue, EBITDA and D&amp;A (hence EBIT) are from HUL's official FY26 results release (turnover ₹63,763 Cr, EBITDA ₹15,054 Cr at 23.6% margin, depreciation ₹1,333 Cr). PAT of ₹10,652 Cr is the reported (post-exceptional) full-year figure. Market Cap (₹4,83,099 Cr) and shares outstanding (~234.98 Cr) are from Screener.in (Aug 2026). Total Debt (~₹14 Cr) and Cash &amp; short-term investments (~₹8,250 Cr) are from Simply Wall St's balance-sheet summary — HUL is materially debt-free.</t>
  </si>
  <si>
    <t>5. Godfrey Phillips India (GPI) figures</t>
  </si>
  <si>
    <t>Revenue (₹6,110 Cr) and Market Cap (₹35,771 Cr) are from Screener.in (Aug 2026). Net Profit (₹1,525 Cr) is GPI's own disclosed FY26 full-year figure (continuing operations). EBITDA and EBIT are NOT company-disclosed full-year figures — they are estimated by applying GPI's Q1 FY26 EBITDA margin (~21.9%, i.e. before the FY27 tax-driven margin compression reported in July 2026) to FY26 revenue, then deducting an assumed ₹120 Cr D&amp;A. Net Debt is simplified to nil, consistent with Screener's characterisation of GPI as 'almost debt free' — a precise cash/investment balance was not decomposed from the sources reviewed. This is the least precise line in the model and should be refined from GPI's actual FY26 annual report if greater accuracy is required.</t>
  </si>
  <si>
    <t>6. Nestlé India figures</t>
  </si>
  <si>
    <t>Revenue (₹24,437 Cr) and Net Profit (₹3,860 Cr) are from Screener.in (Aug 2026). EBITDA and EBIT are estimated — Nestlé India's quarterly EBITDA margins during FY26 ranged from ~21% to ~26%; an average ~23.2% margin was applied to FY26 revenue, less an assumed ₹750 Cr D&amp;A for EBIT. Market Cap (₹2,88,996 Cr) is from Screener.in; shares outstanding (9.64 Cr, face value ₹10) is the widely-reported figure. Net Debt simplified to nil (Nestlé India carries negligible debt).</t>
  </si>
  <si>
    <t>7. Britannia Industries figures</t>
  </si>
  <si>
    <t>Revenue (₹19,151.59 Cr) and Net Profit (₹2,537.01 Cr) are Britannia's own disclosed FY26 full-year consolidated figures (ScanX news, May 2026 results release). TTM EBITDA (₹3,320.4 Cr) is from Tickertape and used as the FY26 proxy. EBIT is estimated as EBITDA less an assumed ₹330 Cr D&amp;A run-rate (not separately disclosed in the sources reviewed). Market Cap (₹1,25,575 Cr) is from Screener.in; shares outstanding (~24.07 Cr) is the widely-reported figure. Net Debt simplified to nil, consistent with Britannia's low-leverage profile.</t>
  </si>
  <si>
    <t>8. Known limitations</t>
  </si>
  <si>
    <t>(a) EBITDA/EBIT for GPI, Nestlé and Britannia are estimated from partial-year disclosures rather than taken from a single audited full-year figure — flagged individually above. (b) Net Debt for the three FMCG/tobacco peers (excl. HUL and ITC) is simplified to nil rather than fully decomposed from balance-sheet filings; all three are known to be lightly levered, so this understates rather than overstates Enterprise Value, but is a simplification the reader should refine for a more precise, publication-grade CCA. (c) All market data is a single point-in-time snapshot (Aug 2026) compiled from public secondary sources (Screener.in, company press releases, financial news aggregators) rather than a live terminal feed — refresh before using for any live investment decision. (d) This is an academic exercise, not investment advice.</t>
  </si>
  <si>
    <t>ITC LIMITED — Comparative Balance Sheet (₹ in Crores)</t>
  </si>
  <si>
    <t>Particulars</t>
  </si>
  <si>
    <t>FY2024
(₹ Cr)</t>
  </si>
  <si>
    <t>FY2025
(₹ Cr)</t>
  </si>
  <si>
    <t>FY2026
(₹ Cr)</t>
  </si>
  <si>
    <t>Change
FY24→FY25
(₹ Cr)</t>
  </si>
  <si>
    <t>Change
FY25→FY26
(₹ Cr)</t>
  </si>
  <si>
    <t>NON-CURRENT ASSETS</t>
  </si>
  <si>
    <t>Property, Plant and Equipment</t>
  </si>
  <si>
    <t>Capital Work-in-Progress</t>
  </si>
  <si>
    <t>Investment Property</t>
  </si>
  <si>
    <t>Goodwill</t>
  </si>
  <si>
    <t>Other Intangible Assets</t>
  </si>
  <si>
    <t>Intangible Assets Under Development</t>
  </si>
  <si>
    <t>Right-of-use Assets</t>
  </si>
  <si>
    <t>Investments (Equity Method)</t>
  </si>
  <si>
    <t>Non-current Financial Assets</t>
  </si>
  <si>
    <t>Deferred Tax Assets (Net)</t>
  </si>
  <si>
    <t>Income Tax Assets (Net)</t>
  </si>
  <si>
    <t>Other Non-current Assets</t>
  </si>
  <si>
    <t>Total Non-current Assets</t>
  </si>
  <si>
    <t>CURRENT ASSETS</t>
  </si>
  <si>
    <t>Biological Assets</t>
  </si>
  <si>
    <t>Current Investments</t>
  </si>
  <si>
    <t>Trade Receivables</t>
  </si>
  <si>
    <t>Cash and Cash Equivalents</t>
  </si>
  <si>
    <t>Bank Balances (Other)</t>
  </si>
  <si>
    <t>Current Loans</t>
  </si>
  <si>
    <t>Other Current Financial Assets</t>
  </si>
  <si>
    <t>Other Current Assets</t>
  </si>
  <si>
    <t>TOTAL ASSETS</t>
  </si>
  <si>
    <t>Equity Share Capital</t>
  </si>
  <si>
    <t>Other Equity</t>
  </si>
  <si>
    <t>Equity Attr. to Owners of Parent</t>
  </si>
  <si>
    <t>Non-controlling Interests</t>
  </si>
  <si>
    <t>Total Equity</t>
  </si>
  <si>
    <t>NON-CURRENT LIABILITIES</t>
  </si>
  <si>
    <t>Non-current Borrowings</t>
  </si>
  <si>
    <t>Lease Liabilities (NC)</t>
  </si>
  <si>
    <t>Other NC Financial Liabilities</t>
  </si>
  <si>
    <t>Provisions (NC)</t>
  </si>
  <si>
    <t>Deferred Tax Liabilities (Net)</t>
  </si>
  <si>
    <t>Other Non-current Liabilities</t>
  </si>
  <si>
    <t>Total Non-current Liabilities</t>
  </si>
  <si>
    <t>CURRENT LIABILITIES</t>
  </si>
  <si>
    <t>Current Borrowings</t>
  </si>
  <si>
    <t>Lease Liabilities (Current)</t>
  </si>
  <si>
    <t>Trade Payables</t>
  </si>
  <si>
    <t>Other Current Financial Liab.</t>
  </si>
  <si>
    <t>Other Current Liabilities</t>
  </si>
  <si>
    <t>Provisions (Current)</t>
  </si>
  <si>
    <t>Current Tax Liabilities (Net)</t>
  </si>
  <si>
    <t>TOTAL EQUITY &amp; LIABILITIES</t>
  </si>
  <si>
    <t>Note: All figures in ₹ Crores. Source: ITC Consolidated Annual Reports FY2024, FY2025, FY2026.</t>
  </si>
  <si>
    <t>ITC LIMITED — Comparative Statement of Profit &amp; Loss (₹ in Crores)</t>
  </si>
  <si>
    <t>INCOME</t>
  </si>
  <si>
    <t>Revenue from Operations</t>
  </si>
  <si>
    <t>Total Income</t>
  </si>
  <si>
    <t>EXPENSES</t>
  </si>
  <si>
    <t>Cost of Materials Consumed</t>
  </si>
  <si>
    <t>Purchases of Stock-in-Trade &amp; Bio. Assets</t>
  </si>
  <si>
    <t>Changes in Inventories</t>
  </si>
  <si>
    <t>Excise Duty</t>
  </si>
  <si>
    <t>Employee Benefits Expense</t>
  </si>
  <si>
    <t>Finance Costs</t>
  </si>
  <si>
    <t>Depreciation &amp; Amortisation</t>
  </si>
  <si>
    <t>Other Expenses</t>
  </si>
  <si>
    <t>Total Expenses</t>
  </si>
  <si>
    <t>Share of Profit of Associates &amp; JVs</t>
  </si>
  <si>
    <t>Profit Before Exceptional Items &amp; Tax</t>
  </si>
  <si>
    <t>Exceptional Items</t>
  </si>
  <si>
    <t>Profit Before Tax (Continuing Ops)</t>
  </si>
  <si>
    <t>Profit for Year (Continuing Ops)</t>
  </si>
  <si>
    <t>Profit from Discontinued Operations (Net)</t>
  </si>
  <si>
    <t>Profit for the Year</t>
  </si>
  <si>
    <t>Other Comprehensive Income (Net)</t>
  </si>
  <si>
    <t>Total Comprehensive Income</t>
  </si>
  <si>
    <t>ITC LIMITED — Common-Size Balance Sheet (% of Total Assets)</t>
  </si>
  <si>
    <t>FY2024
(%)</t>
  </si>
  <si>
    <t>FY2025
(%)</t>
  </si>
  <si>
    <t>FY2026
(%)</t>
  </si>
  <si>
    <t>Note: % calculated as each line item as a proportion of Total Assets. Source: ITC Consolidated Annual Reports.</t>
  </si>
  <si>
    <t>ITC LIMITED — Common-Size Statement of Profit &amp; Loss (% of Total Income)</t>
  </si>
  <si>
    <t>Note: % calculated as proportion of Total Income (Revenue from Ops + Other Income). Source: ITC Consolidated Annual Reports.</t>
  </si>
  <si>
    <t>ITC LIMITED — Trend Analysis (Base Year = FY2024, Index = 100)</t>
  </si>
  <si>
    <t>Key Indicator</t>
  </si>
  <si>
    <t>FY2024
(Base = 100)</t>
  </si>
  <si>
    <t>FY2025
Index</t>
  </si>
  <si>
    <t>FY2026
Index</t>
  </si>
  <si>
    <t>YoY % Change
(FY25→FY26)</t>
  </si>
  <si>
    <t>── BALANCE SHEET ──</t>
  </si>
  <si>
    <t>Total NCL</t>
  </si>
  <si>
    <t>Property, Plant &amp; Equipment</t>
  </si>
  <si>
    <t>── PROFIT &amp; LOSS ──</t>
  </si>
  <si>
    <t>EBIT (PBT + Finance Costs)</t>
  </si>
  <si>
    <t>Profit Before Tax</t>
  </si>
  <si>
    <t>── KEY RATIOS ──</t>
  </si>
  <si>
    <t>Net Profit Margin (%)</t>
  </si>
  <si>
    <t>Return on Equity (%)</t>
  </si>
  <si>
    <t>Current Ratio (x)</t>
  </si>
  <si>
    <t>Asset Turnover (x)</t>
  </si>
  <si>
    <t>Debt-to-Equity (x)</t>
  </si>
  <si>
    <t>Revenue/Employee Exp (x)</t>
  </si>
  <si>
    <t>Note: Index values calculated as (Current Year Value / FY2024 Base Value) × 100. Ratios are actuals, not indexed.</t>
  </si>
  <si>
    <t>ITC LIMITED — Financial Analysis: Key Observations &amp; Interpretation (FY2024–FY2026)</t>
  </si>
  <si>
    <t xml:space="preserve">  COMPARATIVE BALANCE SHEET</t>
  </si>
  <si>
    <t>1. Total Assets</t>
  </si>
  <si>
    <t>Trend</t>
  </si>
  <si>
    <t>Total Assets declined from ₹91,826 Cr (FY24) to ₹88,091 Cr (FY25) — a fall of ~4.1% — before recovering to ₹93,792 Cr in FY26 (+6.5%). The FY25 dip was driven by a large reduction in PP&amp;E (₹23,082 Cr → ₹17,429 Cr), likely reflecting block disposals or impairments tied to the Hotels demerger.</t>
  </si>
  <si>
    <t>2. Equity Erosion (FY25) &amp; Recovery (FY26)</t>
  </si>
  <si>
    <t>Total Equity fell from ₹74,890 Cr (FY24) to ₹70,398 Cr (FY25), a drop of ~6%, primarily due to a sharp reduction in Other Equity (₹73,259 Cr → ₹68,779 Cr). This suggests dividend payouts and/or buybacks exceeded retained profits in FY25. In FY26 equity partially recovered to ₹72,873 Cr.</t>
  </si>
  <si>
    <t>3. Asset Mix Shift: NCA vs CA</t>
  </si>
  <si>
    <t>Non-current Assets shrank from ₹50,761 Cr to ₹44,197 Cr (FY25) and further to ₹43,084 Cr (FY26), while Current Assets expanded from ₹41,066 Cr to ₹43,893 Cr to ₹50,708 Cr. The rising share of current assets (from 44.7% to 54.1% of Total Assets) points to higher working capital intensity and growing liquid investments.</t>
  </si>
  <si>
    <t>4. Surge in Current Investments (FY26)</t>
  </si>
  <si>
    <t>Current Investments jumped from ₹12,944 Cr (FY24) to ₹20,751 Cr (FY26) — a 60% rise — showing ITC is parking significant surplus cash in liquid mutual funds/bonds rather than deploying it in capex or M&amp;A.</t>
  </si>
  <si>
    <t>5. Borrowings Nearly Zero</t>
  </si>
  <si>
    <t>ITC is virtually debt-free. Total borrowings (current + non-current) were just ₹2,186 Cr in FY26 (vs ₹11.28 Cr in FY24), placing it in an extremely low-leverage position. Finance costs have risen sharply (₹39 Cr → ₹85 Cr) but remain negligible relative to earnings.</t>
  </si>
  <si>
    <t xml:space="preserve">  COMPARATIVE P&amp;L</t>
  </si>
  <si>
    <t>6. Robust Revenue Growth</t>
  </si>
  <si>
    <t>Revenue from Operations grew at a healthy CAGR of ~10.2% over FY24–FY26: ₹73,891 Cr → ₹81,613 Cr → ₹89,913 Cr. This reflects volume and value growth across FMCG, Agribusiness, and Paperboards segments even as the Hotels business was demerged.</t>
  </si>
  <si>
    <t>7. Rising Cost Pressure (Total Expenses)</t>
  </si>
  <si>
    <t>Total Expenses grew faster than revenue: from ₹50,199 Cr (65.5% of income) to ₹64,391 Cr (69.7% of income) in FY26. Material costs (₹26,272 Cr, excl. purchase of stock-in-trade: ₹8,826 Cr) and Excise Duty (₹11,045 Cr) are the dominant drivers. Operating leverage is being compressed.</t>
  </si>
  <si>
    <t>8. PAT Anomaly in FY25</t>
  </si>
  <si>
    <t>Profit for the Year spiked to ₹35,052 Cr in FY25 from ₹20,751 Cr in FY24 due to exceptional profits from discontinued operations (Hotels demerger: ₹15,128 Cr exceptional income, net of tax). FY26 PAT normalised to ₹21,018 Cr — broadly in line with FY24, underscoring the one-time nature of the FY25 gain.</t>
  </si>
  <si>
    <t>9. Profit Before Tax (Continuing Ops) — Steady Growth</t>
  </si>
  <si>
    <t>PBT from continuing operations grew steadily: ₹26,400 Cr → ₹26,927 Cr → ₹28,033 Cr. This indicates core business profitability is intact and growing at ~3% CAGR, though slower than revenue growth due to cost inflation.</t>
  </si>
  <si>
    <t>10. Finance Cost Spike (FY26)</t>
  </si>
  <si>
    <t>Finance costs nearly doubled from ₹45 Cr (FY25) to ₹85 Cr (FY26), largely due to the ₹2,126 Cr in current borrowings (vs ₹91 Cr in FY25). Still immaterial relative to earnings, but worth monitoring.</t>
  </si>
  <si>
    <t xml:space="preserve">  COMMON-SIZE ANALYSIS</t>
  </si>
  <si>
    <t>11. Declining Material Cost % (as % Total Income)</t>
  </si>
  <si>
    <t>Material cost (consumed) as a % of Total Income rose from 27.8% to 28.5% — a 70 bps adverse movement. However, Purchases of Stock-in-Trade fell from 7.9% to 9.6% in FY25 and then to 9.6% in FY26, partly offset by inventory buildup (negative change-in-inventory ₹2,550 Cr in FY26 = stock accumulation).</t>
  </si>
  <si>
    <t>12. Excise Duty Weight Rising</t>
  </si>
  <si>
    <t>Excise duty jumped from 7.8% (FY24) to 11.9% (FY26) of Total Income — a structural headwind for the cigarettes business, reflecting government policy. This compresses PAT margins when not fully passed on.</t>
  </si>
  <si>
    <t>13. Employee Cost Stable at ~7%</t>
  </si>
  <si>
    <t>Employee benefit expense remained roughly stable at 7.3% of Total Income across all three years, indicating good productivity management despite inflationary pressures on salaries.</t>
  </si>
  <si>
    <t>14. Equity Dominant Financing (&gt;77%)</t>
  </si>
  <si>
    <t>Common-size BS shows Equity at 77.7% of Total Assets in FY26 (down from 81.5% in FY24), confirming ITC's conservative capital structure. Debt is under 3% of the balance sheet — a company almost entirely financed by its own profits.</t>
  </si>
  <si>
    <t xml:space="preserve">  TREND ANALYSIS</t>
  </si>
  <si>
    <t>15. Revenue Index FY26 = ~122 (Base FY24 = 100)</t>
  </si>
  <si>
    <t>Revenue has grown strongly — +21.7% over two years. Expenses grew at an even faster clip (index ~128), compressing operating margins. Net profit index (FY26 = ~101) confirms normalised profitability is back to FY24 levels post the Hotels windfall in FY25.</t>
  </si>
  <si>
    <t>16. Current Ratio Improving</t>
  </si>
  <si>
    <t>Current ratio improved from 3.00x (FY24) to 3.06x (FY25) to 3.04x (FY26) — well above the safety threshold of 1.5x. Reflects strong liquidity with substantial liquid investments in current assets.</t>
  </si>
  <si>
    <t>17. Asset Turnover Inching Up</t>
  </si>
  <si>
    <t>Asset turnover improved from 0.80x to 0.93x to 0.96x, meaning ITC is generating more revenue per rupee of assets deployed — a positive efficiency signal. As the Hotels segment (capital-heavy, lower turnover) is now demerged, this metric should continue to improve.</t>
  </si>
  <si>
    <t>18. Net Profit Margin Compressed</t>
  </si>
  <si>
    <t>Net Profit Margin (PAT/Total Income) normalised to 22.8% in FY26 (FY24: 27.1%, FY25: 41.7% due to Hotels exceptional). The FY24 baseline margin itself is under pressure in FY26 — 22.8% vs 27.1% — due to rising excise duty and material costs. This is the most important watch metric.</t>
  </si>
  <si>
    <t>19. Finance Cost Rising — Still Negligible</t>
  </si>
  <si>
    <t>Finance costs index jumped to 218 (FY26 vs FY24 base), but at ₹85 Cr it represents just 0.09% of revenue. Not yet a concern, but signals the company has taken on some short-term working capital borrowings in FY26 — likely to fund inventory build (₹18,623 Cr vs ₹14,153 Cr in FY24).</t>
  </si>
  <si>
    <t xml:space="preserve">  OVERALL CONCLUSION</t>
  </si>
  <si>
    <t>Summary</t>
  </si>
  <si>
    <t>ITC remains one of India's most financially robust consumer goods conglomerates. Revenue growth is strong and consistent. The Hotels demerger in FY25 was value-accretive and has freed up capital. The company is cash-rich, nearly debt-free, and generating strong free cash flows deployed into liquid investments. Key risks to watch: (a) rising excise duty on cigarettes compressing FMCG margins, (b) material cost inflation, and (c) still-modest FMCG profitability beyond the cigarettes engine. The normalisation of PAT in FY26 is expected and does not signal structural weakness — the FY25 spike was a one-time demerger gain.</t>
  </si>
  <si>
    <t>Prepared by: Financial Analysis | Source: ITC Consolidated Annual Reports FY2024, FY2025, FY2026</t>
  </si>
  <si>
    <t>ITC LIMITED — BENEISH M-SCORE ANALYSIS (Earnings Manipulation Detection)</t>
  </si>
  <si>
    <t>Variable / Index</t>
  </si>
  <si>
    <t>Formula / Description</t>
  </si>
  <si>
    <t>FY2024 vs FY2023*</t>
  </si>
  <si>
    <t>FY2025 vs FY2024</t>
  </si>
  <si>
    <t>FY2026 vs FY2025</t>
  </si>
  <si>
    <t>MODEL BACKGROUND: The Beneish M-Score (1999) uses 8 financial ratios to detect potential earnings manipulation. M-Score = -4.840 + 0.920×DSRI + 0.528×GMI + 0.404×AQI + 0.892×SGI + 0.115×DEPI − 0.172×SGAI + 4.679×TATA − 0.327×LVGI. If M-Score &gt; -2.22: Possible Manipulator. If M-Score &lt; -2.22: Unlikely Manipulator. (*FY2024 M-Score uses FY2023 as base year; FY2023 data estimated from FY2024 BS comparatives.)</t>
  </si>
  <si>
    <t>COMPONENT CALCULATIONS</t>
  </si>
  <si>
    <t>Days Sales in Receivables Index (DSRI)</t>
  </si>
  <si>
    <t>(AR_t/Rev_t) / (AR_t-1/Rev_t-1) — measures if receivables grew faster than sales</t>
  </si>
  <si>
    <t xml:space="preserve">  Interpretation</t>
  </si>
  <si>
    <t>&gt;1 indicates receivables growing faster than revenue (manipulation risk signal)</t>
  </si>
  <si>
    <t>1.44 — AR days up</t>
  </si>
  <si>
    <t>1.10 — slight rise</t>
  </si>
  <si>
    <t>0.75 — AR days fell sharply</t>
  </si>
  <si>
    <t>Gross Margin Index (GMI)</t>
  </si>
  <si>
    <t>(GP_t-1/Rev_t-1) / (GP_t/Rev_t) — declining margins raise manipulation risk</t>
  </si>
  <si>
    <t>Asset Quality Index (AQI)</t>
  </si>
  <si>
    <t>[(1−(CA+PPE)/TA)_t] / [(1−(CA+PPE)/TA)_t-1] — rising means more intangibles/off-BS</t>
  </si>
  <si>
    <t>Sales Growth Index (SGI)</t>
  </si>
  <si>
    <t>Rev_t / Rev_t-1 — high growth firms face more pressure to manipulate</t>
  </si>
  <si>
    <t>Depreciation Index (DEPI)</t>
  </si>
  <si>
    <t>[(Dep/(Dep+PPE))_t-1] / [(Dep/(Dep+PPE))_t] — rising means slower depreciation</t>
  </si>
  <si>
    <t>SG&amp;A Expense Index (SGAI)</t>
  </si>
  <si>
    <t>(SGA/Rev)_t / (SGA/Rev)_t-1 — unexpected SGA rise may signal deterioration</t>
  </si>
  <si>
    <t>Leverage Index (LVGI)</t>
  </si>
  <si>
    <t>(TotalDebt/TA)_t / (TotalDebt/TA)_t-1 — rising leverage increases manipulation risk</t>
  </si>
  <si>
    <t>Total Accruals to Total Assets (TATA)</t>
  </si>
  <si>
    <t>(ΔWC − Depreciation) / Total Assets — large accruals = manipulation risk</t>
  </si>
  <si>
    <t>M-SCORE RESULTS</t>
  </si>
  <si>
    <t>BENEISH M-SCORE</t>
  </si>
  <si>
    <t>M = −4.840 + 0.920×DSRI + 0.528×GMI + 0.404×AQI + 0.892×SGI + 0.115×DEPI − 0.172×SGAI + 4.679×TATA − 0.327×LVGI</t>
  </si>
  <si>
    <t>M-Score Zone</t>
  </si>
  <si>
    <t>M &gt; -2.22 = Possible manipulator | M &lt; -2.22 = Unlikely manipulator</t>
  </si>
  <si>
    <t>✅ UNLIKELY MANIPULATOR (M &lt; -2.22)</t>
  </si>
  <si>
    <t>COMPONENT-LEVEL INTERPRETATION</t>
  </si>
  <si>
    <t>→ DSRI: FY25 DSRI=1.10 (mild flag) — AR days rose slightly as trade receivables grew faster than revenue. FY26 DSRI=0.81 (clean) — AR days fell sharply (receivables −17% while revenue +10%). Strong negative signal — no manipulation here.</t>
  </si>
  <si>
    <t>→ GMI: GMI&gt;1 in all years: gross margins declining — but this is due to rising excise duty and input costs, not accounting manipulation. The Hotels demerger in FY25 and excise duty surge in FY26 are the structural drivers of margin compression.</t>
  </si>
  <si>
    <t>→ AQI: AQI&lt;1 in FY26: asset quality improving — more tangible assets as % of total. Positive signal. Hotels deconsolidation reduced non-current assets, lowering the 'intangible' portion of the asset base.</t>
  </si>
  <si>
    <t>→ SGI: FY26 SGI=1.10 — 10% revenue growth. Below the threshold that Beneish associated with manipulation risk (&gt;1.6x). Organic, well-documented revenue growth in line with the FMCG sector.</t>
  </si>
  <si>
    <t>→ TATA: TATA is the highest-weight variable. FY26 TATA=0.0293 — moderate negative accruals (WC grew but D&amp;A subtracted). No evidence of aggressive accrual-based earnings management. Accruals within normal bounds.</t>
  </si>
  <si>
    <t>OVERALL M-SCORE ASSESSMENT</t>
  </si>
  <si>
    <t>CONCLUSION — BENEISH M-SCORE:
M-Scores: FY24=-2.501 | FY25=-2.279 | FY26=-2.566
All three scores are well below the −2.22 manipulation threshold. ITC is classified as an UNLIKELY MANIPULATOR in all years. Key observations: (1) The sharp drop in DSRI in FY26 (AR days falling while revenue grew) is actually the opposite of a manipulation pattern; (2) The GMI&gt;1 trend reflects genuine cost/excise pressures, not revenue overstatement; (3) TATA (accruals-to-assets) is low and negative in FY26, consistent with conservative, cash-backed earnings; (4) ITC's consistently high CFO/PAT ratio (~88%) independently corroborates genuine, non-manipulated earnings; (5) The exceptional item (Hotels demerger gain in FY25) was clearly disclosed and classified as a discontinued operation — a transparent treatment. VERDICT: ITC's financial reporting shows NO indicators of earnings manipulation. The company's financials appear reliable, transparent, and of high quality.</t>
  </si>
  <si>
    <t>ITC LIMITED — ALTMAN Z-SCORE ANALYSIS (Bankruptcy Prediction Model)</t>
  </si>
  <si>
    <t>Component / Variable</t>
  </si>
  <si>
    <t>Formula</t>
  </si>
  <si>
    <t>FY2024</t>
  </si>
  <si>
    <t>FY2025</t>
  </si>
  <si>
    <t>FY2026</t>
  </si>
  <si>
    <t>MODEL BACKGROUND — ALTMAN Z-SCORE (1968, Revised)</t>
  </si>
  <si>
    <t>The Altman Z-Score is a multivariate model combining 5 financial ratios to predict the probability of corporate bankruptcy within 2 years. Two versions are applied: (1) Public Company Z-Score: Z = 1.2×X1 + 1.4×X2 + 3.3×X3 + 0.6×X4 + 1.0×X5 | Zones: Z&gt;2.99 = Safe; 1.81&lt;Z&lt;2.99 = Grey; Z&lt;1.81 = Distress. (2) Non-Manufacturing Z'-Score: Z' = 6.56×X1 + 3.26×X2 + 6.72×X3 + 1.05×X4 | Zones: Z'&gt;2.60 = Safe; 1.10&lt;Z'&lt;2.60 = Grey; Z'&lt;1.10 = Distress.</t>
  </si>
  <si>
    <t>INPUT VARIABLES</t>
  </si>
  <si>
    <t>Total Assets (₹ Cr)</t>
  </si>
  <si>
    <t>From Balance Sheet</t>
  </si>
  <si>
    <t>Total Current Assets (₹ Cr)</t>
  </si>
  <si>
    <t>Total Current Liabilities (₹ Cr)</t>
  </si>
  <si>
    <t>Net Working Capital (₹ Cr)</t>
  </si>
  <si>
    <t>CA − CL</t>
  </si>
  <si>
    <t>Total Equity (Book Value, ₹ Cr)</t>
  </si>
  <si>
    <t>Retained Earnings / Reserves (₹ Cr)</t>
  </si>
  <si>
    <t>Other Equity (proxy for RE)</t>
  </si>
  <si>
    <t>PBT + Finance Costs</t>
  </si>
  <si>
    <t>Revenue from Operations (₹ Cr)</t>
  </si>
  <si>
    <t>From P&amp;L</t>
  </si>
  <si>
    <t>Total Debt (₹ Cr)</t>
  </si>
  <si>
    <t>All borrowings + CL (proxy)</t>
  </si>
  <si>
    <t>Estimated Market Capitalisation (₹ Cr)</t>
  </si>
  <si>
    <t>Approximate (used in public Z model)</t>
  </si>
  <si>
    <t>PUBLIC COMPANY Z-SCORE COMPONENTS (Altman 1968)</t>
  </si>
  <si>
    <t>X1 = Working Capital / Total Assets</t>
  </si>
  <si>
    <t>Liquidity ratio</t>
  </si>
  <si>
    <t xml:space="preserve">  Weight: 1.2 × X1</t>
  </si>
  <si>
    <t>Weighted contribution</t>
  </si>
  <si>
    <t>X2 = Retained Earnings / Total Assets</t>
  </si>
  <si>
    <t>Cumulative profitability/solvency</t>
  </si>
  <si>
    <t xml:space="preserve">  Weight: 1.4 × X2</t>
  </si>
  <si>
    <t>X3 = EBIT / Total Assets</t>
  </si>
  <si>
    <t>Operating efficiency / return on assets</t>
  </si>
  <si>
    <t xml:space="preserve">  Weight: 3.3 × X3</t>
  </si>
  <si>
    <t>Weighted contribution (highest weight)</t>
  </si>
  <si>
    <t>X4 = Market Cap / Total Debt (BV)</t>
  </si>
  <si>
    <t>Market leverage (equity buffer)</t>
  </si>
  <si>
    <t xml:space="preserve">  Weight: 0.6 × X4</t>
  </si>
  <si>
    <t>X5 = Revenue / Total Assets</t>
  </si>
  <si>
    <t>Asset utilisation</t>
  </si>
  <si>
    <t xml:space="preserve">  Weight: 1.0 × X5</t>
  </si>
  <si>
    <t>Z-SCORE RESULTS</t>
  </si>
  <si>
    <t>PUBLIC Z-SCORE (Altman 1968)</t>
  </si>
  <si>
    <t>Z = 1.2X1+1.4X2+3.3X3+0.6X4+1.0X5</t>
  </si>
  <si>
    <t>Public Z-Score Zone</t>
  </si>
  <si>
    <t>Z&gt;2.99=Safe | 1.81-2.99=Grey | &lt;1.81=Distress</t>
  </si>
  <si>
    <t>SAFE ZONE (Z &gt; 2.99)</t>
  </si>
  <si>
    <t>Z'-SCORE COMPONENTS (Private/Non-Manufacturing Firms)</t>
  </si>
  <si>
    <t>Same as above</t>
  </si>
  <si>
    <t xml:space="preserve">  Weight: 6.56 × X1</t>
  </si>
  <si>
    <t xml:space="preserve">  Weight: 3.26 × X2</t>
  </si>
  <si>
    <t xml:space="preserve">  Weight: 6.72 × X3</t>
  </si>
  <si>
    <t>X4' = Book Value of Equity / Total Liabilities</t>
  </si>
  <si>
    <t>Book-value based leverage</t>
  </si>
  <si>
    <t xml:space="preserve">  Weight: 1.05 × X4'</t>
  </si>
  <si>
    <t>Z'-SCORE (Non-Manufacturing)</t>
  </si>
  <si>
    <t>Z' = 6.56X1+3.26X2+6.72X3+1.05X4'</t>
  </si>
  <si>
    <t>Z'-Score Zone</t>
  </si>
  <si>
    <t>Z'&gt;2.60=Safe | 1.10-2.60=Grey | &lt;1.10=Distress</t>
  </si>
  <si>
    <t>SAFE ZONE (Z' &gt; 2.60)</t>
  </si>
  <si>
    <t>ALTMAN Z-SCORE INTERPRETATION</t>
  </si>
  <si>
    <t>CONCLUSION — ALTMAN Z-SCORE ANALYSIS:
PUBLIC Z-SCORE: FY24=26.00 | FY25=25.89 | FY26=21.10
Z'-SCORE (Book-based): FY24=11.13 | FY25=10.98 | FY26=10.55
Both models place ITC firmly in the SAFE ZONE in all three years, and by a very wide margin. ITC's Z-scores are 5–15x above distress thresholds, driven by: (1) exceptionally high liquidity (X1 ~0.29–0.36), (2) large cumulative retained earnings relative to assets (X2 ~0.78–0.80), (3) outstanding EBIT/Asset ratios (X3 ~0.29), and (4) a market cap that massively exceeds total debt (X4 ~25–60x). The Z'-Score is even more extreme due to the enormous equity/liability ratio (~5:1). ITC has ZERO bankruptcy risk under either model. The Z-scores are consistent with an investment-grade, fortress-balance-sheet company. Note: The public Z model was designed for US manufacturing firms; applying it to ITC (a diversified Indian FMCG conglomerate) is directionally useful but should be interpreted with awareness of model limitations.</t>
  </si>
  <si>
    <t>ITC LIMITED — CASH FLOW STATEMENT ANALYSIS (₹ in Crores)</t>
  </si>
  <si>
    <t>YoY Change</t>
  </si>
  <si>
    <t>Interpretation</t>
  </si>
  <si>
    <t>A. OPERATING ACTIVITIES (CFO)</t>
  </si>
  <si>
    <t>PBT from Continuing Operations</t>
  </si>
  <si>
    <t>Profit before tax, continuing ops</t>
  </si>
  <si>
    <t>+4.1% YoY</t>
  </si>
  <si>
    <t>Solid underlying growth. Excluding the one-off Hotels demerger gain in FY25, PBT on continuing ops has grown steadily.</t>
  </si>
  <si>
    <t>Depreciation &amp; Amortization</t>
  </si>
  <si>
    <t>Non-cash add-back</t>
  </si>
  <si>
    <t>−12.3% YoY</t>
  </si>
  <si>
    <t>D&amp;A fell in FY26, partly reflecting Hotels PPE deconsolidation in FY25 and subsequent asset base reduction.</t>
  </si>
  <si>
    <t>Finance Costs (add-back)</t>
  </si>
  <si>
    <t>Interest expense add-back</t>
  </si>
  <si>
    <t>+70.3% YoY</t>
  </si>
  <si>
    <t>Finance costs nearly doubled following the 23x jump in short-term borrowings.</t>
  </si>
  <si>
    <t>Interest Income (deducted)</t>
  </si>
  <si>
    <t>Excluded from operations</t>
  </si>
  <si>
    <t>−3.2% YoY</t>
  </si>
  <si>
    <t>Large interest income excluded from operating section; classified as investing. Declining as interest rates normalise.</t>
  </si>
  <si>
    <t>Working Capital Changes (Net)</t>
  </si>
  <si>
    <t>WC movements vs prior year</t>
  </si>
  <si>
    <t>+0.7% YoY</t>
  </si>
  <si>
    <t>WC absorbed ~₹2,762 Cr in FY26. Inventory build (₹3,306 Cr outflow) is the key driver, partially offset by lower receivables.</t>
  </si>
  <si>
    <t>Cash Generated from Operations</t>
  </si>
  <si>
    <t>EBITDA − WC changes (pre-tax)</t>
  </si>
  <si>
    <t>+3.6% YoY</t>
  </si>
  <si>
    <t>Rising steadily — healthy cash generation before taxes. Converting &gt;85% of EBITDA to pre-tax cash.</t>
  </si>
  <si>
    <t>Income Tax Paid</t>
  </si>
  <si>
    <t>Actual cash taxes</t>
  </si>
  <si>
    <t>+0.4% YoY</t>
  </si>
  <si>
    <t>Tax payments broadly stable and well-covered by pre-tax cash generation. Effective cash tax rate ~25.6%.</t>
  </si>
  <si>
    <t>NET CASH FROM OPERATING (CFO)</t>
  </si>
  <si>
    <t>FINAL OPERATING CASH FLOW</t>
  </si>
  <si>
    <t>+4.75% YoY</t>
  </si>
  <si>
    <t>CFO grew 4.75% YoY and is at a 3-year high. Demonstrates strong, sustainable cash generation from core operations.</t>
  </si>
  <si>
    <t>B. INVESTING ACTIVITIES (CFI)</t>
  </si>
  <si>
    <t>Purchase of PPE + intangibles + ROU</t>
  </si>
  <si>
    <t>−4.2% YoY</t>
  </si>
  <si>
    <t>Capex moderated in FY26 — notable given the Century Pulp acquisition (post year-end). Sustainable maintenance capex level.</t>
  </si>
  <si>
    <t>Net Investment Activity</t>
  </si>
  <si>
    <t>Purchase/sale of investments</t>
  </si>
  <si>
    <t>Large ↑</t>
  </si>
  <si>
    <t>FY26 saw higher net investment outflows — purchase of non-current investments + equity method entities increasing.</t>
  </si>
  <si>
    <t>Interest &amp; Dividend Received</t>
  </si>
  <si>
    <t>Investing inflows</t>
  </si>
  <si>
    <t>−14.6% YoY</t>
  </si>
  <si>
    <t>Slightly declining as the company deploys treasury into equity-method investments rather than pure fixed-income.</t>
  </si>
  <si>
    <t>NET CASH FROM INVESTING (CFI)</t>
  </si>
  <si>
    <t>FINAL INVESTING CASH FLOW</t>
  </si>
  <si>
    <t>Deteriorating</t>
  </si>
  <si>
    <t>CFI turned negative in FY25 and further negative in FY26. ITC is investing more — consistent with its stated growth agenda.</t>
  </si>
  <si>
    <t>C. FINANCING ACTIVITIES (CFF)</t>
  </si>
  <si>
    <t>ESOP/Share Capital Proceeds</t>
  </si>
  <si>
    <t>Equity issuance receipts</t>
  </si>
  <si>
    <t>−49.3% YoY</t>
  </si>
  <si>
    <t>ESOP-related inflows declining — consistent with falling share price over the period and fewer exercises.</t>
  </si>
  <si>
    <t>Net Borrowings Change</t>
  </si>
  <si>
    <t>Proceeds minus repayments</t>
  </si>
  <si>
    <t>Large jump due to ₹2,060 Cr new ST borrowings in FY26 vs near-nil prior year. Working capital/acquisition funding.</t>
  </si>
  <si>
    <t>Dividends Paid</t>
  </si>
  <si>
    <t>Cash paid to shareholders</t>
  </si>
  <si>
    <t>+2.8% YoY</t>
  </si>
  <si>
    <t>ITC remains among India's largest dividend payers in absolute terms. Very high payout ratio (~88%).</t>
  </si>
  <si>
    <t>NET CASH FROM FINANCING (CFF)</t>
  </si>
  <si>
    <t>FINAL FINANCING CASH FLOW</t>
  </si>
  <si>
    <t>+5.2% (less outflow)</t>
  </si>
  <si>
    <t>CFF less negative due to new borrowings; still dominated by dividend outflows. Financing cash flow structurally negative.</t>
  </si>
  <si>
    <t>D. KEY CFS QUALITY METRICS</t>
  </si>
  <si>
    <t>CFO / PAT (Cash Quality Ratio)</t>
  </si>
  <si>
    <t>How much PAT converts to operating cash</t>
  </si>
  <si>
    <t>~0.88x avg</t>
  </si>
  <si>
    <t>CFO covers ~88% of PAT — excellent cash quality. ITC's profits are not 'paper profits'; they are backed by real cash flows.</t>
  </si>
  <si>
    <t>CFO / EBITDA</t>
  </si>
  <si>
    <t>Cash conversion from EBITDA</t>
  </si>
  <si>
    <t>~60–62%</t>
  </si>
  <si>
    <t>Approximately 61–62% of EBITDA converts to operating cash after working capital and taxes. Industry-leading cash conversion.</t>
  </si>
  <si>
    <t>Free Cash Flow (FCF) — ₹ Cr</t>
  </si>
  <si>
    <t>CFO minus Capex</t>
  </si>
  <si>
    <t>+8.1% YoY</t>
  </si>
  <si>
    <t>FCF grew to ₹16,281 Cr in FY26 — one of the highest in Indian FMCG. Robust FCF funds dividends, acquisitions, and treasury.</t>
  </si>
  <si>
    <t>FCF Yield (FCF / Revenue)</t>
  </si>
  <si>
    <t>FCF as % of revenue</t>
  </si>
  <si>
    <t>Stable ~18%</t>
  </si>
  <si>
    <t>~18% FCF yield on revenue — extraordinarily high. Reflects ITC's low capex intensity post-Hotels demerger.</t>
  </si>
  <si>
    <t>Capex Intensity</t>
  </si>
  <si>
    <t>Capex / Revenue</t>
  </si>
  <si>
    <t>Falling</t>
  </si>
  <si>
    <t>Capex intensity fell from 4.8% to 2.4% — ITC is not a capex-heavy business post Hotels demerger. Century acquisition (FY27) will increase this.</t>
  </si>
  <si>
    <t>Dividend Cover (CFO-based)</t>
  </si>
  <si>
    <t>CFO / Dividends Paid</t>
  </si>
  <si>
    <t>→ ~1.01x</t>
  </si>
  <si>
    <t>CFO barely covers the dividend (1.01x in FY26). ITC is distributing virtually all its operating cash as dividends — sustainable only with near-zero capex needs.</t>
  </si>
  <si>
    <t>Net Debt Movement</t>
  </si>
  <si>
    <t>Closing − Opening Cash</t>
  </si>
  <si>
    <t>Turned negative</t>
  </si>
  <si>
    <t>After 3 years of growing cash, FY26 saw a marginal net decrease — due to sharp dividend payments vs modestly higher CFO.</t>
  </si>
  <si>
    <t>CFS SUMMARY ASSESSMENT: ITC's cash flows are of exceptional quality. CFO has grown consistently (FY24: ₹17,179 Cr → FY25: ₹17,627 Cr → FY26: ₹18,464 Cr), FCF yield is ~18% of revenue, and the company generates more cash than it can efficiently reinvest. The structural challenge is that the high dividend payout (88%) leaves minimal retained cash for organic growth, making acquisitions (e.g., Century Pulp) the primary lever for inorganic growth. The FY26 inventory build and jump in ST borrowings should be monitored in FY27 CFS.</t>
  </si>
  <si>
    <t>ITC LIMITED — COMPREHENSIVE RATIO ANALYSIS (₹ in Crores)</t>
  </si>
  <si>
    <t>Ratio / Metric</t>
  </si>
  <si>
    <t>A. LIQUIDITY RATIOS</t>
  </si>
  <si>
    <t>Current Ratio</t>
  </si>
  <si>
    <t>Current Assets / Current Liabilities</t>
  </si>
  <si>
    <t>→</t>
  </si>
  <si>
    <t>Stable ~3.0x. Well above 2.0x comfort zone; ITC comfortably meets ST obligations. Slight improvement in FY26 reflects higher CA growth. Excellent liquidity buffer.</t>
  </si>
  <si>
    <t>Quick Ratio (Acid Test)</t>
  </si>
  <si>
    <t>(Current Assets − Inventories − Biological Assets) / CL</t>
  </si>
  <si>
    <t>↓</t>
  </si>
  <si>
    <t>Declined from 1.95x to 1.90x due to rapid inventory build. Still &gt; 1.5x — very comfortable; ITC can meet current liabilities even without liquidating inventories.</t>
  </si>
  <si>
    <t>Cash Ratio</t>
  </si>
  <si>
    <t>(Cash + Current Investments + Bank Balances) / CL</t>
  </si>
  <si>
    <t>↑</t>
  </si>
  <si>
    <t>Rising from 1.47x to 1.42x to 1.43x. Near-cash assets (cash, bank deposits, current investments) are enormous relative to current liabilities — ITC's treasury is a fortress.</t>
  </si>
  <si>
    <t>Current Assets − Current Liabilities</t>
  </si>
  <si>
    <t>NWC expanded to ₹34,021 Cr in FY26 — a large, growing positive NWC reflecting ITC's conservative, self-funded working capital policy.</t>
  </si>
  <si>
    <t>Working Capital Turnover</t>
  </si>
  <si>
    <t>Revenue / Net Working Capital</t>
  </si>
  <si>
    <t>Falling slightly — reflects WC growing faster than revenue. Slightly less efficient WC utilisation in FY26, partly driven by deliberate inventory build.</t>
  </si>
  <si>
    <t>B. PROFITABILITY RATIOS</t>
  </si>
  <si>
    <t>Gross Profit Margin</t>
  </si>
  <si>
    <t>(Revenue − COGS − StockPurch − ExciseDuty) / Revenue</t>
  </si>
  <si>
    <t>Fell from 55.1% to 50.6% to 47.0%: excise duty nearly doubled YoY (+75.6%) in FY26, compressing gross margins sharply. Underlying manufacturing margin pressure is more moderate.</t>
  </si>
  <si>
    <t>(PBT from Cont. Ops + Finance Costs + D&amp;A) / Revenue</t>
  </si>
  <si>
    <t>Compressed from 38.0% to 35.5% to 33.5%. Total expenses growing faster than revenue (+12.3% vs +10.2% in FY26). Still industry-leading margins for a diversified FMCG conglomerate.</t>
  </si>
  <si>
    <t>Operating Profit Margin (PBT%)</t>
  </si>
  <si>
    <t>PBT (Continuing Ops) / Revenue</t>
  </si>
  <si>
    <t>Stable at ~35% — remarkable given the excise duty surge. Operational leverage in the cigarettes segment + growing share of associates' profits help sustain high margins.</t>
  </si>
  <si>
    <t>Net Profit Margin (PAT%)</t>
  </si>
  <si>
    <t>PAT (Continuing Ops) / Revenue</t>
  </si>
  <si>
    <t>Broadly flat at 22–23%. After-tax margin has remained remarkably stable over 3 years despite excise surge, reflecting pricing power and cost discipline.</t>
  </si>
  <si>
    <t>Return on Equity (ROE)</t>
  </si>
  <si>
    <t>PAT (Continuing) / Avg Total Equity</t>
  </si>
  <si>
    <t>ROE ~27-28%: one of the highest in Indian FMCG. ITC generates substantial shareholder returns from a very large equity base. Constrained by near-zero leverage.</t>
  </si>
  <si>
    <t>Return on Assets (ROA)</t>
  </si>
  <si>
    <t>PAT (Continuing) / Avg Total Assets</t>
  </si>
  <si>
    <t>Steady ~22-23%. Reflects efficient deployment of a large, cash-rich asset base — unusual for an asset-heavy FMCG company.</t>
  </si>
  <si>
    <t>Return on Capital Employed (ROCE)</t>
  </si>
  <si>
    <t>EBIT / (Total Assets − CL)</t>
  </si>
  <si>
    <t>ROCE strengthening toward 39% — exceptional for any large-cap. Reflects extremely low debt, high EBIT, and efficient capital allocation.</t>
  </si>
  <si>
    <t>Return on Capital Invested (ROIC)</t>
  </si>
  <si>
    <t>NOPAT / (Equity + Net Debt)</t>
  </si>
  <si>
    <t>ROIC &gt; 30% — significantly above cost of capital (estimated ~10-12%), creating enormous economic value. ITC is a sustained value creator.</t>
  </si>
  <si>
    <t>C. EFFICIENCY / ACTIVITY RATIOS</t>
  </si>
  <si>
    <t>Asset Turnover</t>
  </si>
  <si>
    <t>Revenue / Avg Total Assets</t>
  </si>
  <si>
    <t>Low at 0.85–0.91x, reflecting large NC investments and treasury portfolio. Asset-light in operations but balance sheet heavy with financial assets.</t>
  </si>
  <si>
    <t>Fixed Asset Turnover</t>
  </si>
  <si>
    <t>Revenue / Avg Net Fixed Assets (PPE)</t>
  </si>
  <si>
    <t>Improving from 3.65x to 5.16x: reflects the Hotels deconsolidation in FY25 (large fixed assets exited) and continued efficient utilisation of remaining PPE.</t>
  </si>
  <si>
    <t>Inventory Turnover</t>
  </si>
  <si>
    <t>Cost of Goods Sold / Avg Inventories</t>
  </si>
  <si>
    <t>Declining to 1.88x — inventory build (+19% YoY) outpaced cost growth. ITC is accumulating leaf tobacco and raw materials; could be strategic but bears monitoring.</t>
  </si>
  <si>
    <t>365 / Inventory Turnover</t>
  </si>
  <si>
    <t>Rising from ~67 to ~76 to ~94 days. Significant inventory accumulation in FY26 warrants monitoring — whether strategic or demand-side risk.</t>
  </si>
  <si>
    <t>Debtors Turnover</t>
  </si>
  <si>
    <t>Revenue / Avg Trade Receivables</t>
  </si>
  <si>
    <t>Improved markedly to 20.9x in FY26 as trade receivables fell 17% even as revenues grew 10%. Strong collections management.</t>
  </si>
  <si>
    <t>Debtor Days (DSO)</t>
  </si>
  <si>
    <t>365 / Debtors Turnover</t>
  </si>
  <si>
    <t>DSO improving to ~17 days — exceptional for a large FMCG company. Very low credit risk and strong channel discipline.</t>
  </si>
  <si>
    <t>Payable Turnover</t>
  </si>
  <si>
    <t>Purchases / Avg Trade Payables</t>
  </si>
  <si>
    <t>Stable at 6.8–7.0x — ITC pays creditors in ~52 days, reflecting a balanced supplier relationship policy.</t>
  </si>
  <si>
    <t>Creditor Days (DPO)</t>
  </si>
  <si>
    <t>365 / Payable Turnover</t>
  </si>
  <si>
    <t>~52 days DPO: reasonable; ITC is not aggressively stretching payables (sign of supplier power balance).</t>
  </si>
  <si>
    <t>Cash Conversion Cycle</t>
  </si>
  <si>
    <t>Inventory Days + DSO − DPO</t>
  </si>
  <si>
    <t>CCC rose from 31.8 to 59.4 days — primarily due to inventory build. Rising CCC implies more cash tied up in working capital; needs monitoring in FY27.</t>
  </si>
  <si>
    <t>D. SOLVENCY / LEVERAGE RATIOS</t>
  </si>
  <si>
    <t>Debt-to-Equity Ratio</t>
  </si>
  <si>
    <t>(NC Borrowings + Current Borrowings) / Total Equity</t>
  </si>
  <si>
    <t>Spiked from near-zero to 0.030x — still virtually zero. The 23x jump in ST borrowings is notable in absolute terms but immaterial vs the equity base.</t>
  </si>
  <si>
    <t>Net Debt / EBITDA</t>
  </si>
  <si>
    <t>(Total Debt − Cash − Current Investments) / EBITDA</t>
  </si>
  <si>
    <t>Deeply negative net debt — ITC has net cash exceeding ₹19,000 Cr (excl bank deposits). Cash-rich balance sheet is a fortress. Net debt/EBITDA is meaningless (negative).</t>
  </si>
  <si>
    <t>Interest Coverage Ratio</t>
  </si>
  <si>
    <t>EBIT / Finance Costs</t>
  </si>
  <si>
    <t>Fell from 675x to 333x — still astronomically high. Finance costs doubled but remain immaterial. No debt-servicing risk whatsoever.</t>
  </si>
  <si>
    <t>Debt Service Coverage Ratio</t>
  </si>
  <si>
    <t>EBIT / (Finance Costs + Principal Repayments)</t>
  </si>
  <si>
    <t>Declining but still &gt;150x. ITC can comfortably meet all debt obligations. Lease payments included in denominator.</t>
  </si>
  <si>
    <t>Equity Multiplier</t>
  </si>
  <si>
    <t>Total Assets / Total Equity</t>
  </si>
  <si>
    <t>Stable at ~1.28x — very low leverage multiplier, confirming the predominantly equity-funded capital structure.</t>
  </si>
  <si>
    <t>Total Debt Ratio</t>
  </si>
  <si>
    <t>Total Liabilities / Total Assets</t>
  </si>
  <si>
    <t>Slightly rising from 18.4% to 20.0% to 22.3% — mainly due to current liability growth; still exceptionally low.</t>
  </si>
  <si>
    <t>Dividends Paid / PAT Attributable to Owners</t>
  </si>
  <si>
    <t>Payout ratio jumped to ~88% in FY26 — ITC distributes almost all earnings to shareholders. Very high dividend yield stock; limited retained earnings for reinvestment.</t>
  </si>
  <si>
    <t>ITC LIMITED — CONSOLIDATED FINANCIAL DATA (₹ in Crores)</t>
  </si>
  <si>
    <t>Item</t>
  </si>
  <si>
    <t>BALANCE SHEET — ASSETS</t>
  </si>
  <si>
    <t>Property, Plant &amp; Equipment (Net)</t>
  </si>
  <si>
    <t>Right-of-Use Assets</t>
  </si>
  <si>
    <t>Equity Method Investments</t>
  </si>
  <si>
    <t>NC Financial Assets — Investments</t>
  </si>
  <si>
    <t>NC Financial Assets — Others</t>
  </si>
  <si>
    <t>Other Non-Current Assets</t>
  </si>
  <si>
    <t>TOTAL NON-CURRENT ASSETS</t>
  </si>
  <si>
    <t>Biological Assets (non-bearer plants)</t>
  </si>
  <si>
    <t>Cash &amp; Cash Equivalents</t>
  </si>
  <si>
    <t>Bank Balances (other than cash)</t>
  </si>
  <si>
    <t>TOTAL CURRENT ASSETS</t>
  </si>
  <si>
    <t>BALANCE SHEET — EQUITY &amp; LIABILITIES</t>
  </si>
  <si>
    <t>Non-Controlling Interests</t>
  </si>
  <si>
    <t>TOTAL EQUITY</t>
  </si>
  <si>
    <t>NC Borrowings</t>
  </si>
  <si>
    <t>NC Lease Liabilities</t>
  </si>
  <si>
    <t>NC Other Financial Liabilities</t>
  </si>
  <si>
    <t>NC Provisions</t>
  </si>
  <si>
    <t>Other NC Liabilities</t>
  </si>
  <si>
    <t>TOTAL NC LIABILITIES</t>
  </si>
  <si>
    <t>Current Lease Liabilities</t>
  </si>
  <si>
    <t>Other Current Financial Liabilities</t>
  </si>
  <si>
    <t>Current Provisions</t>
  </si>
  <si>
    <t>TOTAL CURRENT LIABILITIES</t>
  </si>
  <si>
    <t>PROFIT &amp; LOSS STATEMENT</t>
  </si>
  <si>
    <t>TOTAL INCOME</t>
  </si>
  <si>
    <t>Purchases of Stock-in-Trade</t>
  </si>
  <si>
    <t>TOTAL EXPENSES</t>
  </si>
  <si>
    <t>Share of Profit — Associates &amp; JVs</t>
  </si>
  <si>
    <t>PBT (Continuing Operations)</t>
  </si>
  <si>
    <t>PBT Before Exceptional Items</t>
  </si>
  <si>
    <t>PAT (Continuing Operations)</t>
  </si>
  <si>
    <t>PAT (Discontinued Operations)</t>
  </si>
  <si>
    <t>PAT (Total)</t>
  </si>
  <si>
    <t>PAT Attributable to Owners</t>
  </si>
  <si>
    <t>Basic EPS (₹)</t>
  </si>
  <si>
    <t>Diluted EPS (₹)</t>
  </si>
  <si>
    <t>Basic EPS — Continuing Ops (₹)</t>
  </si>
  <si>
    <t>Depreciation &amp; Amortization (CFS adj)</t>
  </si>
  <si>
    <t>Finance Costs (CFS adj)</t>
  </si>
  <si>
    <t>Interest Income (CFS adj)</t>
  </si>
  <si>
    <t>Working Capital Changes — Net</t>
  </si>
  <si>
    <t>NET CASH FROM OPERATING ACTIVITIES (CFO)</t>
  </si>
  <si>
    <t>Capex (PPE + Intangibles)</t>
  </si>
  <si>
    <t>Purchase of Investments (Net)</t>
  </si>
  <si>
    <t>Interest &amp; Dividends Received</t>
  </si>
  <si>
    <t>NET CASH FROM INVESTING ACTIVITIES (CFI)</t>
  </si>
  <si>
    <t>Proceeds from Share Capital / ESOP</t>
  </si>
  <si>
    <t>Net Borrowings</t>
  </si>
  <si>
    <t>Interest Paid</t>
  </si>
  <si>
    <t>NET CASH FROM FINANCING ACTIVITIES (CFF)</t>
  </si>
  <si>
    <t>Net Change in Cash</t>
  </si>
  <si>
    <t>Opening Cash</t>
  </si>
  <si>
    <t>CLOSING CASH &amp; EQUIVALENTS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</si>
</sst>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0_);\(#,##0\);_(\–_);_(@_)"/>
    <numFmt numFmtId="165" formatCode="_(#,##0.0%_);\(#,##0.0%\);_(\–_)_%;_(@_)_%"/>
    <numFmt numFmtId="166" formatCode="_(#,##0.00%_);\(#,##0.00%\);_(\–_)_%;_(@_)_%"/>
    <numFmt numFmtId="167" formatCode="_(\₹* #,##0.00_);&quot;(₹&quot;* \(#,##0.00\);_(\₹* \–??_);_(@_)"/>
    <numFmt numFmtId="168" formatCode="0.0"/>
    <numFmt numFmtId="169" formatCode=";;;"/>
    <numFmt numFmtId="170" formatCode="0.000"/>
    <numFmt numFmtId="171" formatCode="0.00\x"/>
    <numFmt numFmtId="172" formatCode="_(#,##0.00_);\(#,##0.00\);_(\-_);_(@_)"/>
    <numFmt numFmtId="173" formatCode="0.0\x"/>
    <numFmt numFmtId="174" formatCode="0.0%"/>
    <numFmt numFmtId="175" formatCode="0.00\%"/>
    <numFmt numFmtId="176" formatCode="0.0000"/>
    <numFmt numFmtId="177" formatCode="#,##0.00\x"/>
    <numFmt numFmtId="178" formatCode="#,##0.00&quot; days&quot;"/>
  </numFmts>
  <fonts count="48" x14ac:knownFonts="1">
    <font>
      <sz val="11"/>
      <color theme="1"/>
      <name val="Calibri"/>
      <family val="2"/>
      <charset val="1"/>
    </font>
    <font>
      <b/>
      <sz val="20"/>
      <color rgb="FF4472C4"/>
      <name val="Open Sans"/>
      <charset val="1"/>
    </font>
    <font>
      <i/>
      <sz val="10"/>
      <color rgb="FF808080"/>
      <name val="Open Sans"/>
      <charset val="1"/>
    </font>
    <font>
      <b/>
      <sz val="14"/>
      <color rgb="FF132E57"/>
      <name val="Open Sans"/>
      <charset val="1"/>
    </font>
    <font>
      <u/>
      <sz val="12"/>
      <color rgb="FF0563C1"/>
      <name val="Open Sans"/>
      <charset val="1"/>
    </font>
    <font>
      <sz val="11"/>
      <color rgb="FF000000"/>
      <name val="Open Sans"/>
      <charset val="1"/>
    </font>
    <font>
      <b/>
      <sz val="11"/>
      <color rgb="FF000000"/>
      <name val="Open Sans"/>
      <charset val="1"/>
    </font>
    <font>
      <sz val="10"/>
      <color rgb="FF000000"/>
      <name val="Open Sans"/>
      <charset val="1"/>
    </font>
    <font>
      <i/>
      <sz val="9"/>
      <color rgb="FF808080"/>
      <name val="Open Sans"/>
      <charset val="1"/>
    </font>
    <font>
      <b/>
      <sz val="14"/>
      <color rgb="FF1F4E78"/>
      <name val="Calibri"/>
      <family val="2"/>
      <charset val="1"/>
    </font>
    <font>
      <b/>
      <sz val="11"/>
      <color rgb="FFFFFFFF"/>
      <name val="Calibri"/>
      <family val="2"/>
      <charset val="1"/>
    </font>
    <font>
      <sz val="10"/>
      <name val="Calibri"/>
      <family val="2"/>
      <charset val="1"/>
    </font>
    <font>
      <b/>
      <sz val="14"/>
      <color rgb="FF3271D2"/>
      <name val="Open Sans"/>
      <charset val="1"/>
    </font>
    <font>
      <sz val="9"/>
      <color rgb="FF000000"/>
      <name val="Open Sans"/>
      <charset val="1"/>
    </font>
    <font>
      <b/>
      <sz val="10"/>
      <color rgb="FF000000"/>
      <name val="Open Sans"/>
      <charset val="1"/>
    </font>
    <font>
      <i/>
      <sz val="9"/>
      <color rgb="FF595959"/>
      <name val="Open Sans"/>
      <charset val="1"/>
    </font>
    <font>
      <i/>
      <sz val="8"/>
      <color rgb="FF808080"/>
      <name val="Open Sans"/>
      <charset val="1"/>
    </font>
    <font>
      <b/>
      <sz val="10"/>
      <color rgb="FF3271D2"/>
      <name val="Open Sans"/>
      <charset val="1"/>
    </font>
    <font>
      <sz val="10"/>
      <color rgb="FF3271D2"/>
      <name val="Open Sans"/>
      <charset val="1"/>
    </font>
    <font>
      <sz val="10"/>
      <name val="Arial"/>
      <family val="2"/>
    </font>
    <font>
      <b/>
      <sz val="18"/>
      <color rgb="FF1F3864"/>
      <name val="Arial"/>
      <charset val="1"/>
    </font>
    <font>
      <i/>
      <sz val="12"/>
      <color rgb="FF595959"/>
      <name val="Arial"/>
      <charset val="1"/>
    </font>
    <font>
      <sz val="10"/>
      <name val="Arial"/>
      <charset val="1"/>
    </font>
    <font>
      <b/>
      <sz val="10"/>
      <color rgb="FF000000"/>
      <name val="Arial"/>
      <charset val="1"/>
    </font>
    <font>
      <i/>
      <sz val="9"/>
      <color rgb="FF595959"/>
      <name val="Arial"/>
      <charset val="1"/>
    </font>
    <font>
      <i/>
      <sz val="9"/>
      <color rgb="FFC00000"/>
      <name val="Arial"/>
      <charset val="1"/>
    </font>
    <font>
      <b/>
      <sz val="14"/>
      <color rgb="FF1F3864"/>
      <name val="Arial"/>
      <charset val="1"/>
    </font>
    <font>
      <b/>
      <sz val="10"/>
      <color rgb="FFFFFFFF"/>
      <name val="Arial"/>
      <charset val="1"/>
    </font>
    <font>
      <sz val="10"/>
      <color rgb="FF0000FF"/>
      <name val="Arial"/>
      <charset val="1"/>
    </font>
    <font>
      <sz val="10"/>
      <color rgb="FF000000"/>
      <name val="Arial"/>
      <charset val="1"/>
    </font>
    <font>
      <sz val="9"/>
      <color rgb="FF000000"/>
      <name val="Arial"/>
      <charset val="1"/>
    </font>
    <font>
      <b/>
      <sz val="10"/>
      <color rgb="FF008000"/>
      <name val="Arial"/>
      <charset val="1"/>
    </font>
    <font>
      <sz val="10"/>
      <color rgb="FF008000"/>
      <name val="Arial"/>
      <charset val="1"/>
    </font>
    <font>
      <b/>
      <sz val="13"/>
      <color rgb="FFFFFFFF"/>
      <name val="Arial"/>
      <charset val="1"/>
    </font>
    <font>
      <b/>
      <sz val="10"/>
      <color rgb="FF1F3864"/>
      <name val="Arial"/>
      <charset val="1"/>
    </font>
    <font>
      <i/>
      <sz val="8"/>
      <color rgb="FF666666"/>
      <name val="Arial"/>
      <charset val="1"/>
    </font>
    <font>
      <b/>
      <sz val="10"/>
      <color rgb="FF375623"/>
      <name val="Arial"/>
      <charset val="1"/>
    </font>
    <font>
      <b/>
      <sz val="10"/>
      <color rgb="FFC00000"/>
      <name val="Arial"/>
      <charset val="1"/>
    </font>
    <font>
      <b/>
      <sz val="11"/>
      <color rgb="FFFFFFFF"/>
      <name val="Arial"/>
      <charset val="1"/>
    </font>
    <font>
      <b/>
      <sz val="9"/>
      <color rgb="FF1F3864"/>
      <name val="Arial"/>
      <charset val="1"/>
    </font>
    <font>
      <b/>
      <sz val="10"/>
      <color rgb="FF1A3C6E"/>
      <name val="Arial"/>
      <charset val="1"/>
    </font>
    <font>
      <i/>
      <sz val="9"/>
      <name val="Arial"/>
      <charset val="1"/>
    </font>
    <font>
      <b/>
      <sz val="10"/>
      <name val="Arial"/>
      <charset val="1"/>
    </font>
    <font>
      <b/>
      <sz val="9"/>
      <name val="Arial"/>
      <charset val="1"/>
    </font>
    <font>
      <sz val="9"/>
      <name val="Arial"/>
      <charset val="1"/>
    </font>
    <font>
      <sz val="9"/>
      <color rgb="FF1A6620"/>
      <name val="Arial"/>
      <charset val="1"/>
    </font>
    <font>
      <i/>
      <sz val="9"/>
      <color rgb="FF1A3C6E"/>
      <name val="Arial"/>
      <charset val="1"/>
    </font>
    <font>
      <b/>
      <sz val="14"/>
      <name val="Arial"/>
      <charset val="1"/>
    </font>
  </fonts>
  <fills count="21">
    <fill>
      <patternFill patternType="none"/>
    </fill>
    <fill>
      <patternFill patternType="gray125"/>
    </fill>
    <fill>
      <patternFill patternType="solid">
        <fgColor rgb="FF1F4E78"/>
        <bgColor rgb="FF132E57"/>
      </patternFill>
    </fill>
    <fill>
      <patternFill patternType="solid">
        <fgColor rgb="FFE7F2FF"/>
        <bgColor rgb="FFFFFFFF"/>
      </patternFill>
    </fill>
    <fill>
      <patternFill patternType="solid">
        <fgColor rgb="FF1F3864"/>
        <bgColor rgb="FF333333"/>
      </patternFill>
    </fill>
    <fill>
      <patternFill patternType="solid">
        <fgColor rgb="FFF2F2F2"/>
        <bgColor rgb="FFFFFFFF"/>
      </patternFill>
    </fill>
    <fill>
      <patternFill patternType="solid">
        <fgColor rgb="FFDCE6F1"/>
        <bgColor rgb="FFF2F2F2"/>
      </patternFill>
    </fill>
    <fill>
      <patternFill patternType="solid">
        <fgColor rgb="FF1F3864"/>
        <bgColor rgb="FF333399"/>
      </patternFill>
    </fill>
    <fill>
      <patternFill patternType="solid">
        <fgColor rgb="FF2E74B5"/>
        <bgColor rgb="FF0066CC"/>
      </patternFill>
    </fill>
    <fill>
      <patternFill patternType="solid">
        <fgColor rgb="FFBDD7EE"/>
        <bgColor rgb="FF99CCFF"/>
      </patternFill>
    </fill>
    <fill>
      <patternFill patternType="solid">
        <fgColor rgb="FFFFFFFF"/>
        <bgColor rgb="FFF2F7FC"/>
      </patternFill>
    </fill>
    <fill>
      <patternFill patternType="solid">
        <fgColor rgb="FFDEEAF1"/>
        <bgColor rgb="FFF2F7FC"/>
      </patternFill>
    </fill>
    <fill>
      <patternFill patternType="solid">
        <fgColor rgb="FFF2F7FC"/>
        <bgColor rgb="FFFFFFFF"/>
      </patternFill>
    </fill>
    <fill>
      <patternFill patternType="solid">
        <fgColor rgb="FF1A3C6E"/>
        <bgColor rgb="FF333399"/>
      </patternFill>
    </fill>
    <fill>
      <patternFill patternType="solid">
        <fgColor rgb="FFF2F2F2"/>
        <bgColor rgb="FFE2EFDA"/>
      </patternFill>
    </fill>
    <fill>
      <patternFill patternType="solid">
        <fgColor rgb="FFD6E4F0"/>
        <bgColor rgb="FFE2EFDA"/>
      </patternFill>
    </fill>
    <fill>
      <patternFill patternType="solid">
        <fgColor rgb="FFE2EFDA"/>
        <bgColor rgb="FFF2F2F2"/>
      </patternFill>
    </fill>
    <fill>
      <patternFill patternType="solid">
        <fgColor rgb="FFFFF2CC"/>
        <bgColor rgb="FFF2F2F2"/>
      </patternFill>
    </fill>
    <fill>
      <patternFill patternType="solid">
        <fgColor rgb="FFFFDCE0"/>
        <bgColor rgb="FFFFF2CC"/>
      </patternFill>
    </fill>
    <fill>
      <patternFill patternType="solid">
        <fgColor rgb="FF2E6DA4"/>
        <bgColor rgb="FF3366FF"/>
      </patternFill>
    </fill>
    <fill>
      <patternFill patternType="solid">
        <fgColor rgb="FFC9A84C"/>
        <bgColor rgb="FFFF9900"/>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style="thin">
        <color auto="1"/>
      </top>
      <bottom style="medium">
        <color auto="1"/>
      </bottom>
      <diagonal/>
    </border>
    <border>
      <left style="thin">
        <color rgb="FFA9A9A9"/>
      </left>
      <right style="thin">
        <color rgb="FFA9A9A9"/>
      </right>
      <top style="thin">
        <color rgb="FFA9A9A9"/>
      </top>
      <bottom/>
      <diagonal/>
    </border>
    <border>
      <left style="thin">
        <color rgb="FFA9A9A9"/>
      </left>
      <right style="thin">
        <color rgb="FFA9A9A9"/>
      </right>
      <top style="thin">
        <color rgb="FFA9A9A9"/>
      </top>
      <bottom style="thin">
        <color rgb="FFA9A9A9"/>
      </bottom>
      <diagonal/>
    </border>
    <border>
      <left style="thin">
        <color rgb="FFA9A9A9"/>
      </left>
      <right/>
      <top style="thin">
        <color rgb="FFA9A9A9"/>
      </top>
      <bottom style="thin">
        <color rgb="FFA9A9A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175">
    <xf numFmtId="0" fontId="0" fillId="0" borderId="0" xfId="0"/>
    <xf numFmtId="0" fontId="0" fillId="0" borderId="0" xfId="0" applyAlignment="1" applyProtection="1"/>
    <xf numFmtId="0" fontId="1" fillId="0" borderId="0" xfId="0" applyFont="1" applyAlignment="1" applyProtection="1"/>
    <xf numFmtId="0" fontId="2" fillId="0" borderId="0" xfId="0" applyFont="1" applyAlignment="1" applyProtection="1"/>
    <xf numFmtId="0" fontId="3" fillId="0" borderId="0" xfId="0" applyFont="1" applyAlignment="1" applyProtection="1"/>
    <xf numFmtId="0" fontId="4" fillId="0" borderId="0" xfId="0" applyFont="1" applyAlignment="1" applyProtection="1"/>
    <xf numFmtId="0" fontId="5" fillId="0" borderId="0" xfId="0" applyFont="1" applyAlignment="1" applyProtection="1"/>
    <xf numFmtId="0" fontId="6" fillId="0" borderId="0" xfId="0" applyFont="1" applyAlignment="1" applyProtection="1">
      <alignment horizontal="center"/>
    </xf>
    <xf numFmtId="0" fontId="8" fillId="0" borderId="0" xfId="0" applyFont="1" applyAlignment="1" applyProtection="1"/>
    <xf numFmtId="0" fontId="9" fillId="0" borderId="0" xfId="0" applyFont="1" applyAlignment="1" applyProtection="1"/>
    <xf numFmtId="0" fontId="10" fillId="2" borderId="0" xfId="0" applyFont="1" applyFill="1" applyAlignment="1" applyProtection="1"/>
    <xf numFmtId="0" fontId="0" fillId="2" borderId="0" xfId="0" applyFill="1" applyAlignment="1" applyProtection="1"/>
    <xf numFmtId="0" fontId="11" fillId="0" borderId="1" xfId="0" applyFont="1" applyBorder="1" applyAlignment="1" applyProtection="1">
      <alignment vertical="top" wrapText="1"/>
    </xf>
    <xf numFmtId="0" fontId="13" fillId="0" borderId="0" xfId="0" applyFont="1" applyAlignment="1" applyProtection="1"/>
    <xf numFmtId="0" fontId="14" fillId="0" borderId="2" xfId="0" applyFont="1" applyBorder="1" applyAlignment="1" applyProtection="1">
      <alignment horizontal="center"/>
    </xf>
    <xf numFmtId="0" fontId="14" fillId="0" borderId="0" xfId="0" applyFont="1" applyAlignment="1" applyProtection="1"/>
    <xf numFmtId="0" fontId="15" fillId="0" borderId="0" xfId="0" applyFont="1" applyAlignment="1" applyProtection="1"/>
    <xf numFmtId="0" fontId="7" fillId="0" borderId="0" xfId="0" applyFont="1" applyAlignment="1" applyProtection="1"/>
    <xf numFmtId="164" fontId="7" fillId="0" borderId="0" xfId="0" applyNumberFormat="1" applyFont="1" applyAlignment="1" applyProtection="1"/>
    <xf numFmtId="165" fontId="15" fillId="0" borderId="0" xfId="0" applyNumberFormat="1" applyFont="1" applyAlignment="1" applyProtection="1"/>
    <xf numFmtId="0" fontId="14" fillId="3" borderId="0" xfId="0" applyFont="1" applyFill="1" applyAlignment="1" applyProtection="1"/>
    <xf numFmtId="166" fontId="14" fillId="3" borderId="0" xfId="0" applyNumberFormat="1" applyFont="1" applyFill="1" applyAlignment="1" applyProtection="1"/>
    <xf numFmtId="164" fontId="14" fillId="3" borderId="0" xfId="0" applyNumberFormat="1" applyFont="1" applyFill="1" applyAlignment="1" applyProtection="1"/>
    <xf numFmtId="167" fontId="14" fillId="3" borderId="0" xfId="0" applyNumberFormat="1" applyFont="1" applyFill="1" applyAlignment="1" applyProtection="1"/>
    <xf numFmtId="165" fontId="14" fillId="3" borderId="0" xfId="0" applyNumberFormat="1" applyFont="1" applyFill="1" applyAlignment="1" applyProtection="1"/>
    <xf numFmtId="0" fontId="16" fillId="0" borderId="0" xfId="0" applyFont="1" applyAlignment="1" applyProtection="1"/>
    <xf numFmtId="167" fontId="7" fillId="0" borderId="0" xfId="0" applyNumberFormat="1" applyFont="1" applyAlignment="1" applyProtection="1"/>
    <xf numFmtId="0" fontId="17" fillId="0" borderId="0" xfId="0" applyFont="1" applyAlignment="1" applyProtection="1"/>
    <xf numFmtId="165" fontId="14" fillId="0" borderId="0" xfId="0" applyNumberFormat="1" applyFont="1" applyAlignment="1" applyProtection="1"/>
    <xf numFmtId="165" fontId="18" fillId="0" borderId="0" xfId="0" applyNumberFormat="1" applyFont="1" applyAlignment="1" applyProtection="1"/>
    <xf numFmtId="168" fontId="18" fillId="0" borderId="0" xfId="0" applyNumberFormat="1" applyFont="1" applyAlignment="1" applyProtection="1"/>
    <xf numFmtId="0" fontId="18" fillId="0" borderId="0" xfId="0" applyFont="1" applyAlignment="1" applyProtection="1"/>
    <xf numFmtId="166" fontId="18" fillId="0" borderId="0" xfId="0" applyNumberFormat="1" applyFont="1" applyAlignment="1" applyProtection="1"/>
    <xf numFmtId="167" fontId="18" fillId="0" borderId="0" xfId="0" applyNumberFormat="1" applyFont="1" applyAlignment="1" applyProtection="1"/>
    <xf numFmtId="2" fontId="18" fillId="0" borderId="0" xfId="0" applyNumberFormat="1" applyFont="1" applyAlignment="1" applyProtection="1"/>
    <xf numFmtId="166" fontId="14" fillId="0" borderId="0" xfId="0" applyNumberFormat="1" applyFont="1" applyAlignment="1" applyProtection="1"/>
    <xf numFmtId="165" fontId="7" fillId="0" borderId="0" xfId="0" applyNumberFormat="1" applyFont="1" applyAlignment="1" applyProtection="1"/>
    <xf numFmtId="0" fontId="12" fillId="3" borderId="0" xfId="0" applyFont="1" applyFill="1" applyAlignment="1" applyProtection="1">
      <alignment horizontal="left" vertical="center" indent="1"/>
    </xf>
    <xf numFmtId="169" fontId="0" fillId="0" borderId="0" xfId="0" applyNumberFormat="1" applyAlignment="1" applyProtection="1">
      <protection hidden="1"/>
    </xf>
    <xf numFmtId="164" fontId="18" fillId="0" borderId="0" xfId="0" applyNumberFormat="1" applyFont="1" applyAlignment="1" applyProtection="1"/>
    <xf numFmtId="164" fontId="14" fillId="0" borderId="0" xfId="0" applyNumberFormat="1" applyFont="1" applyAlignment="1" applyProtection="1"/>
    <xf numFmtId="164" fontId="14" fillId="0" borderId="2" xfId="0" applyNumberFormat="1" applyFont="1" applyBorder="1" applyAlignment="1" applyProtection="1"/>
    <xf numFmtId="164" fontId="14" fillId="0" borderId="3" xfId="0" applyNumberFormat="1" applyFont="1" applyBorder="1" applyAlignment="1" applyProtection="1"/>
    <xf numFmtId="164" fontId="7" fillId="0" borderId="3" xfId="0" applyNumberFormat="1" applyFont="1" applyBorder="1" applyAlignment="1" applyProtection="1"/>
    <xf numFmtId="0" fontId="13" fillId="0" borderId="2" xfId="0" applyFont="1" applyBorder="1" applyAlignment="1" applyProtection="1">
      <alignment horizontal="center"/>
    </xf>
    <xf numFmtId="168" fontId="7" fillId="0" borderId="0" xfId="0" applyNumberFormat="1" applyFont="1" applyAlignment="1" applyProtection="1"/>
    <xf numFmtId="164" fontId="13" fillId="0" borderId="0" xfId="0" applyNumberFormat="1" applyFont="1" applyAlignment="1" applyProtection="1"/>
    <xf numFmtId="164" fontId="15" fillId="0" borderId="0" xfId="0" applyNumberFormat="1" applyFont="1" applyAlignment="1" applyProtection="1"/>
    <xf numFmtId="168" fontId="7" fillId="0" borderId="2" xfId="0" applyNumberFormat="1" applyFont="1" applyBorder="1" applyAlignment="1" applyProtection="1">
      <alignment horizontal="center"/>
    </xf>
    <xf numFmtId="164" fontId="17" fillId="0" borderId="0" xfId="0" applyNumberFormat="1" applyFont="1" applyAlignment="1" applyProtection="1"/>
    <xf numFmtId="166" fontId="7" fillId="0" borderId="0" xfId="0" applyNumberFormat="1" applyFont="1" applyAlignment="1" applyProtection="1"/>
    <xf numFmtId="164" fontId="7" fillId="0" borderId="2" xfId="0" applyNumberFormat="1" applyFont="1" applyBorder="1" applyAlignment="1" applyProtection="1">
      <alignment horizontal="center"/>
    </xf>
    <xf numFmtId="1" fontId="7" fillId="0" borderId="0" xfId="0" applyNumberFormat="1" applyFont="1" applyAlignment="1" applyProtection="1"/>
    <xf numFmtId="170" fontId="7" fillId="0" borderId="0" xfId="0" applyNumberFormat="1" applyFont="1" applyAlignment="1" applyProtection="1"/>
    <xf numFmtId="171" fontId="7" fillId="0" borderId="0" xfId="0" applyNumberFormat="1" applyFont="1" applyAlignment="1" applyProtection="1"/>
    <xf numFmtId="166" fontId="14" fillId="0" borderId="0" xfId="0" applyNumberFormat="1" applyFont="1" applyAlignment="1" applyProtection="1">
      <alignment horizontal="center"/>
    </xf>
    <xf numFmtId="167" fontId="13" fillId="0" borderId="0" xfId="0" applyNumberFormat="1" applyFont="1" applyAlignment="1" applyProtection="1"/>
    <xf numFmtId="1" fontId="18" fillId="0" borderId="0" xfId="0" applyNumberFormat="1" applyFont="1" applyAlignment="1" applyProtection="1"/>
    <xf numFmtId="172" fontId="14" fillId="0" borderId="0" xfId="0" applyNumberFormat="1" applyFont="1" applyAlignment="1" applyProtection="1"/>
    <xf numFmtId="172" fontId="7" fillId="0" borderId="0" xfId="0" applyNumberFormat="1" applyFont="1" applyAlignment="1" applyProtection="1"/>
    <xf numFmtId="173" fontId="15" fillId="0" borderId="0" xfId="0" applyNumberFormat="1" applyFont="1" applyAlignment="1" applyProtection="1"/>
    <xf numFmtId="0" fontId="20" fillId="0" borderId="0" xfId="0" applyFont="1"/>
    <xf numFmtId="0" fontId="21" fillId="0" borderId="0" xfId="0" applyFont="1"/>
    <xf numFmtId="0" fontId="23" fillId="0" borderId="0" xfId="0" applyFont="1"/>
    <xf numFmtId="0" fontId="26" fillId="0" borderId="0" xfId="0" applyFont="1"/>
    <xf numFmtId="0" fontId="27" fillId="4" borderId="0" xfId="0" applyFont="1" applyFill="1" applyAlignment="1">
      <alignment horizontal="center" vertical="center" wrapText="1"/>
    </xf>
    <xf numFmtId="0" fontId="23" fillId="0" borderId="1" xfId="0" applyFont="1" applyBorder="1"/>
    <xf numFmtId="4" fontId="28" fillId="0" borderId="1" xfId="0" applyNumberFormat="1" applyFont="1" applyBorder="1"/>
    <xf numFmtId="4" fontId="29" fillId="0" borderId="1" xfId="0" applyNumberFormat="1" applyFont="1" applyBorder="1"/>
    <xf numFmtId="4" fontId="23" fillId="0" borderId="1" xfId="0" applyNumberFormat="1" applyFont="1" applyBorder="1"/>
    <xf numFmtId="0" fontId="29" fillId="0" borderId="1" xfId="0" applyFont="1" applyBorder="1"/>
    <xf numFmtId="0" fontId="30" fillId="0" borderId="1" xfId="0" applyFont="1" applyBorder="1" applyAlignment="1">
      <alignment vertical="top" wrapText="1"/>
    </xf>
    <xf numFmtId="0" fontId="31" fillId="5" borderId="1" xfId="0" applyFont="1" applyFill="1" applyBorder="1"/>
    <xf numFmtId="171" fontId="29" fillId="5" borderId="1" xfId="0" applyNumberFormat="1" applyFont="1" applyFill="1" applyBorder="1"/>
    <xf numFmtId="0" fontId="32" fillId="0" borderId="1" xfId="0" applyFont="1" applyBorder="1"/>
    <xf numFmtId="171" fontId="29" fillId="0" borderId="1" xfId="0" applyNumberFormat="1" applyFont="1" applyBorder="1"/>
    <xf numFmtId="0" fontId="23" fillId="6" borderId="1" xfId="0" applyFont="1" applyFill="1" applyBorder="1"/>
    <xf numFmtId="171" fontId="23" fillId="6" borderId="1" xfId="0" applyNumberFormat="1" applyFont="1" applyFill="1" applyBorder="1"/>
    <xf numFmtId="0" fontId="29" fillId="0" borderId="0" xfId="0" applyFont="1"/>
    <xf numFmtId="4" fontId="32" fillId="0" borderId="0" xfId="0" applyNumberFormat="1" applyFont="1"/>
    <xf numFmtId="4" fontId="23" fillId="6" borderId="1" xfId="0" applyNumberFormat="1" applyFont="1" applyFill="1" applyBorder="1"/>
    <xf numFmtId="4" fontId="29" fillId="0" borderId="0" xfId="0" applyNumberFormat="1" applyFont="1"/>
    <xf numFmtId="174" fontId="29" fillId="0" borderId="0" xfId="0" applyNumberFormat="1" applyFont="1"/>
    <xf numFmtId="4" fontId="28" fillId="0" borderId="0" xfId="0" applyNumberFormat="1" applyFont="1"/>
    <xf numFmtId="0" fontId="23" fillId="0" borderId="0" xfId="0" applyFont="1" applyAlignment="1">
      <alignment vertical="top" wrapText="1"/>
    </xf>
    <xf numFmtId="0" fontId="22" fillId="0" borderId="0" xfId="0" applyFont="1" applyAlignment="1">
      <alignment vertical="top" wrapText="1"/>
    </xf>
    <xf numFmtId="0" fontId="29" fillId="10" borderId="5" xfId="0" applyFont="1" applyFill="1" applyBorder="1" applyAlignment="1">
      <alignment horizontal="left" vertical="center" indent="2"/>
    </xf>
    <xf numFmtId="4" fontId="29" fillId="10" borderId="5" xfId="0" applyNumberFormat="1" applyFont="1" applyFill="1" applyBorder="1" applyAlignment="1">
      <alignment horizontal="right" vertical="center"/>
    </xf>
    <xf numFmtId="0" fontId="23" fillId="11" borderId="5" xfId="0" applyFont="1" applyFill="1" applyBorder="1" applyAlignment="1">
      <alignment horizontal="left" vertical="center" indent="1"/>
    </xf>
    <xf numFmtId="4" fontId="23" fillId="11" borderId="5" xfId="0" applyNumberFormat="1" applyFont="1" applyFill="1" applyBorder="1" applyAlignment="1">
      <alignment horizontal="right" vertical="center"/>
    </xf>
    <xf numFmtId="0" fontId="27" fillId="7" borderId="5" xfId="0" applyFont="1" applyFill="1" applyBorder="1" applyAlignment="1">
      <alignment horizontal="left" vertical="center" indent="1"/>
    </xf>
    <xf numFmtId="4" fontId="27" fillId="7" borderId="5" xfId="0" applyNumberFormat="1" applyFont="1" applyFill="1" applyBorder="1" applyAlignment="1">
      <alignment horizontal="right" vertical="center"/>
    </xf>
    <xf numFmtId="0" fontId="35" fillId="0" borderId="0" xfId="0" applyFont="1"/>
    <xf numFmtId="10" fontId="29" fillId="10" borderId="5" xfId="0" applyNumberFormat="1" applyFont="1" applyFill="1" applyBorder="1" applyAlignment="1">
      <alignment horizontal="right" vertical="center"/>
    </xf>
    <xf numFmtId="10" fontId="23" fillId="11" borderId="5" xfId="0" applyNumberFormat="1" applyFont="1" applyFill="1" applyBorder="1" applyAlignment="1">
      <alignment horizontal="right" vertical="center"/>
    </xf>
    <xf numFmtId="10" fontId="27" fillId="7" borderId="5" xfId="0" applyNumberFormat="1" applyFont="1" applyFill="1" applyBorder="1" applyAlignment="1">
      <alignment horizontal="right" vertical="center"/>
    </xf>
    <xf numFmtId="2" fontId="29" fillId="10" borderId="5" xfId="0" applyNumberFormat="1" applyFont="1" applyFill="1" applyBorder="1" applyAlignment="1">
      <alignment horizontal="right" vertical="center"/>
    </xf>
    <xf numFmtId="175" fontId="36" fillId="10" borderId="5" xfId="0" applyNumberFormat="1" applyFont="1" applyFill="1" applyBorder="1" applyAlignment="1">
      <alignment horizontal="right" vertical="center"/>
    </xf>
    <xf numFmtId="0" fontId="29" fillId="12" borderId="5" xfId="0" applyFont="1" applyFill="1" applyBorder="1" applyAlignment="1">
      <alignment horizontal="left" vertical="center" indent="2"/>
    </xf>
    <xf numFmtId="2" fontId="29" fillId="12" borderId="5" xfId="0" applyNumberFormat="1" applyFont="1" applyFill="1" applyBorder="1" applyAlignment="1">
      <alignment horizontal="right" vertical="center"/>
    </xf>
    <xf numFmtId="175" fontId="36" fillId="12" borderId="5" xfId="0" applyNumberFormat="1" applyFont="1" applyFill="1" applyBorder="1" applyAlignment="1">
      <alignment horizontal="right" vertical="center"/>
    </xf>
    <xf numFmtId="175" fontId="37" fillId="10" borderId="5" xfId="0" applyNumberFormat="1" applyFont="1" applyFill="1" applyBorder="1" applyAlignment="1">
      <alignment horizontal="right" vertical="center"/>
    </xf>
    <xf numFmtId="175" fontId="37" fillId="12" borderId="5" xfId="0" applyNumberFormat="1" applyFont="1" applyFill="1" applyBorder="1" applyAlignment="1">
      <alignment horizontal="right" vertical="center"/>
    </xf>
    <xf numFmtId="171" fontId="29" fillId="10" borderId="5" xfId="0" applyNumberFormat="1" applyFont="1" applyFill="1" applyBorder="1" applyAlignment="1">
      <alignment horizontal="right" vertical="center"/>
    </xf>
    <xf numFmtId="171" fontId="29" fillId="12" borderId="5" xfId="0" applyNumberFormat="1" applyFont="1" applyFill="1" applyBorder="1" applyAlignment="1">
      <alignment horizontal="right" vertical="center"/>
    </xf>
    <xf numFmtId="0" fontId="39" fillId="10" borderId="5" xfId="0" applyFont="1" applyFill="1" applyBorder="1" applyAlignment="1">
      <alignment horizontal="left" vertical="center" wrapText="1" indent="1"/>
    </xf>
    <xf numFmtId="0" fontId="30" fillId="10" borderId="5" xfId="0" applyFont="1" applyFill="1" applyBorder="1" applyAlignment="1">
      <alignment horizontal="left" vertical="top" wrapText="1"/>
    </xf>
    <xf numFmtId="0" fontId="39" fillId="12" borderId="5" xfId="0" applyFont="1" applyFill="1" applyBorder="1" applyAlignment="1">
      <alignment horizontal="left" vertical="center" wrapText="1" indent="1"/>
    </xf>
    <xf numFmtId="0" fontId="30" fillId="12" borderId="5" xfId="0" applyFont="1" applyFill="1" applyBorder="1" applyAlignment="1">
      <alignment horizontal="left" vertical="top" wrapText="1"/>
    </xf>
    <xf numFmtId="0" fontId="27" fillId="13" borderId="7" xfId="0" applyFont="1" applyFill="1" applyBorder="1" applyAlignment="1">
      <alignment horizontal="center" vertical="center" wrapText="1"/>
    </xf>
    <xf numFmtId="0" fontId="22" fillId="0" borderId="7" xfId="0" applyFont="1" applyBorder="1" applyAlignment="1">
      <alignment horizontal="left" vertical="center"/>
    </xf>
    <xf numFmtId="0" fontId="41" fillId="0" borderId="7" xfId="0" applyFont="1" applyBorder="1" applyAlignment="1">
      <alignment horizontal="left" vertical="center" wrapText="1"/>
    </xf>
    <xf numFmtId="176" fontId="29" fillId="0" borderId="7" xfId="0" applyNumberFormat="1" applyFont="1" applyBorder="1" applyAlignment="1">
      <alignment horizontal="right" vertical="center"/>
    </xf>
    <xf numFmtId="0" fontId="22" fillId="16" borderId="7" xfId="0" applyFont="1" applyFill="1" applyBorder="1" applyAlignment="1">
      <alignment horizontal="left" vertical="center"/>
    </xf>
    <xf numFmtId="0" fontId="41" fillId="16" borderId="7" xfId="0" applyFont="1" applyFill="1" applyBorder="1" applyAlignment="1">
      <alignment horizontal="left" vertical="center" wrapText="1"/>
    </xf>
    <xf numFmtId="49" fontId="29" fillId="16" borderId="7" xfId="0" applyNumberFormat="1" applyFont="1" applyFill="1" applyBorder="1" applyAlignment="1">
      <alignment horizontal="right" vertical="center"/>
    </xf>
    <xf numFmtId="0" fontId="42" fillId="16" borderId="7" xfId="0" applyFont="1" applyFill="1" applyBorder="1" applyAlignment="1">
      <alignment horizontal="left" vertical="center"/>
    </xf>
    <xf numFmtId="2" fontId="23" fillId="16" borderId="7" xfId="0" applyNumberFormat="1" applyFont="1" applyFill="1" applyBorder="1" applyAlignment="1">
      <alignment horizontal="right" vertical="center"/>
    </xf>
    <xf numFmtId="0" fontId="42" fillId="0" borderId="7" xfId="0" applyFont="1" applyBorder="1" applyAlignment="1">
      <alignment horizontal="left" vertical="center"/>
    </xf>
    <xf numFmtId="0" fontId="41" fillId="0" borderId="7" xfId="0" applyFont="1" applyBorder="1" applyAlignment="1">
      <alignment horizontal="left" vertical="center"/>
    </xf>
    <xf numFmtId="0" fontId="43" fillId="16" borderId="7" xfId="0" applyFont="1" applyFill="1" applyBorder="1" applyAlignment="1">
      <alignment horizontal="center" vertical="center" wrapText="1"/>
    </xf>
    <xf numFmtId="4" fontId="29" fillId="0" borderId="7" xfId="0" applyNumberFormat="1" applyFont="1" applyBorder="1" applyAlignment="1">
      <alignment horizontal="right" vertical="center"/>
    </xf>
    <xf numFmtId="3" fontId="29" fillId="0" borderId="7" xfId="0" applyNumberFormat="1" applyFont="1" applyBorder="1" applyAlignment="1">
      <alignment horizontal="right" vertical="center"/>
    </xf>
    <xf numFmtId="2" fontId="29" fillId="0" borderId="7" xfId="0" applyNumberFormat="1" applyFont="1" applyBorder="1" applyAlignment="1">
      <alignment horizontal="right" vertical="center"/>
    </xf>
    <xf numFmtId="0" fontId="42" fillId="16" borderId="7" xfId="0" applyFont="1" applyFill="1" applyBorder="1" applyAlignment="1">
      <alignment horizontal="center" vertical="center"/>
    </xf>
    <xf numFmtId="0" fontId="24" fillId="0" borderId="7" xfId="0" applyFont="1" applyBorder="1" applyAlignment="1">
      <alignment horizontal="left" vertical="center" wrapText="1"/>
    </xf>
    <xf numFmtId="4" fontId="23" fillId="0" borderId="7" xfId="0" applyNumberFormat="1" applyFont="1" applyBorder="1" applyAlignment="1">
      <alignment horizontal="right" vertical="center"/>
    </xf>
    <xf numFmtId="0" fontId="43" fillId="0" borderId="7" xfId="0" applyFont="1" applyBorder="1" applyAlignment="1">
      <alignment horizontal="center" vertical="center"/>
    </xf>
    <xf numFmtId="0" fontId="44" fillId="0" borderId="7" xfId="0" applyFont="1" applyBorder="1" applyAlignment="1">
      <alignment horizontal="left" vertical="center" wrapText="1"/>
    </xf>
    <xf numFmtId="0" fontId="44" fillId="0" borderId="7" xfId="0" applyFont="1" applyBorder="1" applyAlignment="1">
      <alignment horizontal="center" vertical="center"/>
    </xf>
    <xf numFmtId="0" fontId="24" fillId="16" borderId="7" xfId="0" applyFont="1" applyFill="1" applyBorder="1" applyAlignment="1">
      <alignment horizontal="left" vertical="center" wrapText="1"/>
    </xf>
    <xf numFmtId="4" fontId="23" fillId="16" borderId="7" xfId="0" applyNumberFormat="1" applyFont="1" applyFill="1" applyBorder="1" applyAlignment="1">
      <alignment horizontal="right" vertical="center"/>
    </xf>
    <xf numFmtId="0" fontId="43" fillId="16" borderId="7" xfId="0" applyFont="1" applyFill="1" applyBorder="1" applyAlignment="1">
      <alignment horizontal="center" vertical="center"/>
    </xf>
    <xf numFmtId="0" fontId="44" fillId="16" borderId="7" xfId="0" applyFont="1" applyFill="1" applyBorder="1" applyAlignment="1">
      <alignment horizontal="left" vertical="center" wrapText="1"/>
    </xf>
    <xf numFmtId="0" fontId="42" fillId="17" borderId="7" xfId="0" applyFont="1" applyFill="1" applyBorder="1" applyAlignment="1">
      <alignment horizontal="left" vertical="center"/>
    </xf>
    <xf numFmtId="0" fontId="24" fillId="17" borderId="7" xfId="0" applyFont="1" applyFill="1" applyBorder="1" applyAlignment="1">
      <alignment horizontal="left" vertical="center" wrapText="1"/>
    </xf>
    <xf numFmtId="4" fontId="23" fillId="17" borderId="7" xfId="0" applyNumberFormat="1" applyFont="1" applyFill="1" applyBorder="1" applyAlignment="1">
      <alignment horizontal="right" vertical="center"/>
    </xf>
    <xf numFmtId="0" fontId="43" fillId="17" borderId="7" xfId="0" applyFont="1" applyFill="1" applyBorder="1" applyAlignment="1">
      <alignment horizontal="center" vertical="center"/>
    </xf>
    <xf numFmtId="0" fontId="44" fillId="17" borderId="7" xfId="0" applyFont="1" applyFill="1" applyBorder="1" applyAlignment="1">
      <alignment horizontal="left" vertical="center" wrapText="1"/>
    </xf>
    <xf numFmtId="0" fontId="42" fillId="18" borderId="7" xfId="0" applyFont="1" applyFill="1" applyBorder="1" applyAlignment="1">
      <alignment horizontal="left" vertical="center"/>
    </xf>
    <xf numFmtId="0" fontId="24" fillId="18" borderId="7" xfId="0" applyFont="1" applyFill="1" applyBorder="1" applyAlignment="1">
      <alignment horizontal="left" vertical="center" wrapText="1"/>
    </xf>
    <xf numFmtId="4" fontId="23" fillId="18" borderId="7" xfId="0" applyNumberFormat="1" applyFont="1" applyFill="1" applyBorder="1" applyAlignment="1">
      <alignment horizontal="right" vertical="center"/>
    </xf>
    <xf numFmtId="0" fontId="43" fillId="18" borderId="7" xfId="0" applyFont="1" applyFill="1" applyBorder="1" applyAlignment="1">
      <alignment horizontal="center" vertical="center"/>
    </xf>
    <xf numFmtId="0" fontId="44" fillId="18" borderId="7" xfId="0" applyFont="1" applyFill="1" applyBorder="1" applyAlignment="1">
      <alignment horizontal="left" vertical="center" wrapText="1"/>
    </xf>
    <xf numFmtId="10" fontId="29" fillId="0" borderId="7" xfId="0" applyNumberFormat="1" applyFont="1" applyBorder="1" applyAlignment="1">
      <alignment horizontal="right" vertical="center"/>
    </xf>
    <xf numFmtId="177" fontId="29" fillId="0" borderId="7" xfId="0" applyNumberFormat="1" applyFont="1" applyBorder="1" applyAlignment="1">
      <alignment horizontal="right" vertical="center"/>
    </xf>
    <xf numFmtId="0" fontId="47" fillId="0" borderId="7" xfId="0" applyFont="1" applyBorder="1" applyAlignment="1">
      <alignment horizontal="center" vertical="center"/>
    </xf>
    <xf numFmtId="178" fontId="29" fillId="0" borderId="7" xfId="0" applyNumberFormat="1" applyFont="1" applyBorder="1" applyAlignment="1">
      <alignment horizontal="right" vertical="center"/>
    </xf>
    <xf numFmtId="0" fontId="27" fillId="19" borderId="7" xfId="0" applyFont="1" applyFill="1" applyBorder="1" applyAlignment="1">
      <alignment horizontal="center" vertical="center" wrapText="1"/>
    </xf>
    <xf numFmtId="0" fontId="42" fillId="15" borderId="7" xfId="0" applyFont="1" applyFill="1" applyBorder="1" applyAlignment="1">
      <alignment horizontal="left" vertical="center"/>
    </xf>
    <xf numFmtId="4" fontId="23" fillId="15" borderId="7" xfId="0" applyNumberFormat="1" applyFont="1" applyFill="1" applyBorder="1" applyAlignment="1">
      <alignment horizontal="right" vertical="center"/>
    </xf>
    <xf numFmtId="0" fontId="42" fillId="20" borderId="7" xfId="0" applyFont="1" applyFill="1" applyBorder="1" applyAlignment="1">
      <alignment horizontal="left" vertical="center"/>
    </xf>
    <xf numFmtId="4" fontId="23" fillId="20" borderId="7" xfId="0" applyNumberFormat="1" applyFont="1" applyFill="1" applyBorder="1" applyAlignment="1">
      <alignment horizontal="right" vertical="center"/>
    </xf>
    <xf numFmtId="0" fontId="44" fillId="14" borderId="8" xfId="0" applyFont="1" applyFill="1" applyBorder="1" applyAlignment="1">
      <alignment horizontal="left" vertical="center" wrapText="1"/>
    </xf>
    <xf numFmtId="0" fontId="40" fillId="15" borderId="9" xfId="0" applyFont="1" applyFill="1" applyBorder="1" applyAlignment="1">
      <alignment horizontal="left" vertical="center"/>
    </xf>
    <xf numFmtId="0" fontId="45" fillId="16" borderId="8" xfId="0" applyFont="1" applyFill="1" applyBorder="1" applyAlignment="1">
      <alignment horizontal="left" vertical="center" wrapText="1"/>
    </xf>
    <xf numFmtId="0" fontId="33" fillId="13" borderId="0" xfId="0" applyFont="1" applyFill="1" applyAlignment="1">
      <alignment horizontal="center" vertical="center" wrapText="1"/>
    </xf>
    <xf numFmtId="0" fontId="24" fillId="14" borderId="8" xfId="0" applyFont="1" applyFill="1" applyBorder="1" applyAlignment="1">
      <alignment horizontal="left" vertical="center" wrapText="1"/>
    </xf>
    <xf numFmtId="0" fontId="46" fillId="15" borderId="8" xfId="0" applyFont="1" applyFill="1" applyBorder="1" applyAlignment="1">
      <alignment horizontal="left" vertical="center" wrapText="1"/>
    </xf>
    <xf numFmtId="0" fontId="34" fillId="9" borderId="6" xfId="0" applyFont="1" applyFill="1" applyBorder="1" applyAlignment="1">
      <alignment horizontal="left" vertical="center" indent="1"/>
    </xf>
    <xf numFmtId="0" fontId="33" fillId="7" borderId="0" xfId="0" applyFont="1" applyFill="1" applyAlignment="1">
      <alignment horizontal="center" vertical="center"/>
    </xf>
    <xf numFmtId="0" fontId="27" fillId="8" borderId="4"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0" fillId="0" borderId="0" xfId="0"/>
    <xf numFmtId="0" fontId="38" fillId="7" borderId="6" xfId="0" applyFont="1" applyFill="1" applyBorder="1" applyAlignment="1">
      <alignment horizontal="left" vertical="center" indent="1"/>
    </xf>
    <xf numFmtId="0" fontId="35" fillId="0" borderId="0" xfId="0" applyFont="1"/>
    <xf numFmtId="0" fontId="22" fillId="0" borderId="0" xfId="0" applyFont="1" applyAlignment="1">
      <alignment vertical="top" wrapText="1"/>
    </xf>
    <xf numFmtId="0" fontId="24" fillId="0" borderId="0" xfId="0" applyFont="1"/>
    <xf numFmtId="0" fontId="25" fillId="0" borderId="0" xfId="0" applyFont="1" applyAlignment="1">
      <alignment wrapText="1"/>
    </xf>
    <xf numFmtId="0" fontId="22" fillId="0" borderId="0" xfId="0" applyFont="1" applyAlignment="1">
      <alignment wrapText="1"/>
    </xf>
    <xf numFmtId="0" fontId="24" fillId="0" borderId="0" xfId="0" applyFont="1" applyAlignment="1">
      <alignment wrapText="1"/>
    </xf>
    <xf numFmtId="0" fontId="24" fillId="0" borderId="0" xfId="0" applyFont="1" applyAlignment="1">
      <alignment vertical="top" wrapText="1"/>
    </xf>
    <xf numFmtId="0" fontId="7" fillId="0" borderId="0" xfId="0" applyFont="1" applyBorder="1" applyAlignment="1" applyProtection="1">
      <alignment vertical="top" wrapText="1"/>
    </xf>
    <xf numFmtId="0" fontId="0" fillId="0" borderId="0" xfId="0" applyFont="1" applyBorder="1" applyAlignment="1" applyProtection="1">
      <alignment vertical="top" wrapText="1"/>
    </xf>
    <xf numFmtId="0" fontId="12" fillId="3" borderId="0" xfId="0" applyFont="1" applyFill="1" applyBorder="1" applyAlignment="1" applyProtection="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472C4"/>
      <rgbColor rgb="FFBFBFBF"/>
      <rgbColor rgb="FF808080"/>
      <rgbColor rgb="FF9999FF"/>
      <rgbColor rgb="FF993366"/>
      <rgbColor rgb="FFFFFFCC"/>
      <rgbColor rgb="FFE7F2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271D2"/>
      <rgbColor rgb="FF33CCCC"/>
      <rgbColor rgb="FF99CC00"/>
      <rgbColor rgb="FFFFCC00"/>
      <rgbColor rgb="FFFF9900"/>
      <rgbColor rgb="FFFF6600"/>
      <rgbColor rgb="FF595959"/>
      <rgbColor rgb="FFB3B3B3"/>
      <rgbColor rgb="FF132E57"/>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Revenue &amp; EBITDA Trend (FY22A-FY31E)</a:t>
            </a:r>
          </a:p>
        </c:rich>
      </c:tx>
      <c:overlay val="0"/>
      <c:spPr>
        <a:noFill/>
        <a:ln w="0">
          <a:noFill/>
        </a:ln>
      </c:spPr>
    </c:title>
    <c:autoTitleDeleted val="0"/>
    <c:plotArea>
      <c:layout/>
      <c:lineChart>
        <c:grouping val="standard"/>
        <c:varyColors val="0"/>
        <c:ser>
          <c:idx val="0"/>
          <c:order val="0"/>
          <c:tx>
            <c:strRef>
              <c:f>Outputs!$C$41</c:f>
              <c:strCache>
                <c:ptCount val="1"/>
                <c:pt idx="0">
                  <c:v>Revenue</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Outputs!$B$42:$B$51</c:f>
              <c:strCache>
                <c:ptCount val="10"/>
                <c:pt idx="0">
                  <c:v>2022</c:v>
                </c:pt>
                <c:pt idx="1">
                  <c:v>2023</c:v>
                </c:pt>
                <c:pt idx="2">
                  <c:v>2024</c:v>
                </c:pt>
                <c:pt idx="3">
                  <c:v>2025</c:v>
                </c:pt>
                <c:pt idx="4">
                  <c:v>2026A</c:v>
                </c:pt>
                <c:pt idx="5">
                  <c:v>2027E</c:v>
                </c:pt>
                <c:pt idx="6">
                  <c:v>2028E</c:v>
                </c:pt>
                <c:pt idx="7">
                  <c:v>2029E</c:v>
                </c:pt>
                <c:pt idx="8">
                  <c:v>2030E</c:v>
                </c:pt>
                <c:pt idx="9">
                  <c:v>2031E</c:v>
                </c:pt>
              </c:strCache>
            </c:strRef>
          </c:cat>
          <c:val>
            <c:numRef>
              <c:f>Outputs!$C$42:$C$51</c:f>
              <c:numCache>
                <c:formatCode>_(#,##0_);\(#,##0\);_(\–_);_(@_)</c:formatCode>
                <c:ptCount val="10"/>
                <c:pt idx="0">
                  <c:v>60644.54</c:v>
                </c:pt>
                <c:pt idx="1">
                  <c:v>70919.03</c:v>
                </c:pt>
                <c:pt idx="2">
                  <c:v>73891.429999999993</c:v>
                </c:pt>
                <c:pt idx="3">
                  <c:v>81612.78</c:v>
                </c:pt>
                <c:pt idx="4">
                  <c:v>89913.33</c:v>
                </c:pt>
                <c:pt idx="5">
                  <c:v>96656.82974999999</c:v>
                </c:pt>
                <c:pt idx="6">
                  <c:v>103422.8078325</c:v>
                </c:pt>
                <c:pt idx="7">
                  <c:v>110145.29034161249</c:v>
                </c:pt>
                <c:pt idx="8">
                  <c:v>116754.00776210924</c:v>
                </c:pt>
                <c:pt idx="9">
                  <c:v>123175.47818902526</c:v>
                </c:pt>
              </c:numCache>
            </c:numRef>
          </c:val>
          <c:smooth val="1"/>
          <c:extLst>
            <c:ext xmlns:c16="http://schemas.microsoft.com/office/drawing/2014/chart" uri="{C3380CC4-5D6E-409C-BE32-E72D297353CC}">
              <c16:uniqueId val="{00000000-BC4F-492B-A697-664F630EB92F}"/>
            </c:ext>
          </c:extLst>
        </c:ser>
        <c:ser>
          <c:idx val="1"/>
          <c:order val="1"/>
          <c:tx>
            <c:strRef>
              <c:f>Outputs!$D$41</c:f>
              <c:strCache>
                <c:ptCount val="1"/>
                <c:pt idx="0">
                  <c:v>EBITDA</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Outputs!$B$42:$B$51</c:f>
              <c:strCache>
                <c:ptCount val="10"/>
                <c:pt idx="0">
                  <c:v>2022</c:v>
                </c:pt>
                <c:pt idx="1">
                  <c:v>2023</c:v>
                </c:pt>
                <c:pt idx="2">
                  <c:v>2024</c:v>
                </c:pt>
                <c:pt idx="3">
                  <c:v>2025</c:v>
                </c:pt>
                <c:pt idx="4">
                  <c:v>2026A</c:v>
                </c:pt>
                <c:pt idx="5">
                  <c:v>2027E</c:v>
                </c:pt>
                <c:pt idx="6">
                  <c:v>2028E</c:v>
                </c:pt>
                <c:pt idx="7">
                  <c:v>2029E</c:v>
                </c:pt>
                <c:pt idx="8">
                  <c:v>2030E</c:v>
                </c:pt>
                <c:pt idx="9">
                  <c:v>2031E</c:v>
                </c:pt>
              </c:strCache>
            </c:strRef>
          </c:cat>
          <c:val>
            <c:numRef>
              <c:f>Outputs!$D$42:$D$51</c:f>
              <c:numCache>
                <c:formatCode>_(#,##0_);\(#,##0\);_(\–_);_(@_)</c:formatCode>
                <c:ptCount val="10"/>
                <c:pt idx="0">
                  <c:v>19251.150000000001</c:v>
                </c:pt>
                <c:pt idx="1">
                  <c:v>24987.08</c:v>
                </c:pt>
                <c:pt idx="2">
                  <c:v>25249.789999999994</c:v>
                </c:pt>
                <c:pt idx="3">
                  <c:v>25978.21</c:v>
                </c:pt>
                <c:pt idx="4">
                  <c:v>27317.910000000003</c:v>
                </c:pt>
                <c:pt idx="5">
                  <c:v>28513.76477624998</c:v>
                </c:pt>
                <c:pt idx="6">
                  <c:v>32061.070428075003</c:v>
                </c:pt>
                <c:pt idx="7">
                  <c:v>35246.492909315988</c:v>
                </c:pt>
                <c:pt idx="8">
                  <c:v>38295.314545971836</c:v>
                </c:pt>
                <c:pt idx="9">
                  <c:v>41263.785193323449</c:v>
                </c:pt>
              </c:numCache>
            </c:numRef>
          </c:val>
          <c:smooth val="1"/>
          <c:extLst>
            <c:ext xmlns:c16="http://schemas.microsoft.com/office/drawing/2014/chart" uri="{C3380CC4-5D6E-409C-BE32-E72D297353CC}">
              <c16:uniqueId val="{00000001-BC4F-492B-A697-664F630EB92F}"/>
            </c:ext>
          </c:extLst>
        </c:ser>
        <c:dLbls>
          <c:showLegendKey val="0"/>
          <c:showVal val="0"/>
          <c:showCatName val="0"/>
          <c:showSerName val="0"/>
          <c:showPercent val="0"/>
          <c:showBubbleSize val="0"/>
        </c:dLbls>
        <c:hiLowLines>
          <c:spPr>
            <a:ln w="0">
              <a:noFill/>
            </a:ln>
          </c:spPr>
        </c:hiLowLines>
        <c:smooth val="0"/>
        <c:axId val="90607374"/>
        <c:axId val="52434039"/>
      </c:lineChart>
      <c:catAx>
        <c:axId val="90607374"/>
        <c:scaling>
          <c:orientation val="minMax"/>
        </c:scaling>
        <c:delete val="0"/>
        <c:axPos val="b"/>
        <c:title>
          <c:tx>
            <c:rich>
              <a:bodyPr rot="0"/>
              <a:lstStyle/>
              <a:p>
                <a:pPr>
                  <a:defRPr lang="en-IN"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434039"/>
        <c:crosses val="autoZero"/>
        <c:auto val="1"/>
        <c:lblAlgn val="ctr"/>
        <c:lblOffset val="100"/>
        <c:noMultiLvlLbl val="0"/>
      </c:catAx>
      <c:valAx>
        <c:axId val="52434039"/>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Rs. Crores</a:t>
                </a:r>
              </a:p>
            </c:rich>
          </c:tx>
          <c:overlay val="0"/>
          <c:spPr>
            <a:noFill/>
            <a:ln w="0">
              <a:noFill/>
            </a:ln>
          </c:spPr>
        </c:title>
        <c:numFmt formatCode="_(#,##0_);\(#,##0\);_(\–_);_(@_)"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6073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Net Income Trend (FY22A-FY31E)</a:t>
            </a:r>
          </a:p>
        </c:rich>
      </c:tx>
      <c:overlay val="0"/>
      <c:spPr>
        <a:noFill/>
        <a:ln w="0">
          <a:noFill/>
        </a:ln>
      </c:spPr>
    </c:title>
    <c:autoTitleDeleted val="0"/>
    <c:plotArea>
      <c:layout/>
      <c:barChart>
        <c:barDir val="col"/>
        <c:grouping val="clustered"/>
        <c:varyColors val="0"/>
        <c:ser>
          <c:idx val="0"/>
          <c:order val="0"/>
          <c:tx>
            <c:strRef>
              <c:f>Outputs!$E$41</c:f>
              <c:strCache>
                <c:ptCount val="1"/>
                <c:pt idx="0">
                  <c:v>Net Income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Outputs!$B$42:$B$51</c:f>
              <c:strCache>
                <c:ptCount val="10"/>
                <c:pt idx="0">
                  <c:v>2022</c:v>
                </c:pt>
                <c:pt idx="1">
                  <c:v>2023</c:v>
                </c:pt>
                <c:pt idx="2">
                  <c:v>2024</c:v>
                </c:pt>
                <c:pt idx="3">
                  <c:v>2025</c:v>
                </c:pt>
                <c:pt idx="4">
                  <c:v>2026A</c:v>
                </c:pt>
                <c:pt idx="5">
                  <c:v>2027E</c:v>
                </c:pt>
                <c:pt idx="6">
                  <c:v>2028E</c:v>
                </c:pt>
                <c:pt idx="7">
                  <c:v>2029E</c:v>
                </c:pt>
                <c:pt idx="8">
                  <c:v>2030E</c:v>
                </c:pt>
                <c:pt idx="9">
                  <c:v>2031E</c:v>
                </c:pt>
              </c:strCache>
            </c:strRef>
          </c:cat>
          <c:val>
            <c:numRef>
              <c:f>Outputs!$E$42:$E$51</c:f>
              <c:numCache>
                <c:formatCode>_(#,##0_);\(#,##0\);_(\–_);_(@_)</c:formatCode>
                <c:ptCount val="10"/>
                <c:pt idx="0">
                  <c:v>14131.130000000001</c:v>
                </c:pt>
                <c:pt idx="1">
                  <c:v>18759.54</c:v>
                </c:pt>
                <c:pt idx="2">
                  <c:v>20190.819999999996</c:v>
                </c:pt>
                <c:pt idx="3">
                  <c:v>20036.47</c:v>
                </c:pt>
                <c:pt idx="4">
                  <c:v>21018.150000000009</c:v>
                </c:pt>
                <c:pt idx="5">
                  <c:v>22059.820314039574</c:v>
                </c:pt>
                <c:pt idx="6">
                  <c:v>24625.506165762548</c:v>
                </c:pt>
                <c:pt idx="7">
                  <c:v>26860.822599117815</c:v>
                </c:pt>
                <c:pt idx="8">
                  <c:v>28997.737538670466</c:v>
                </c:pt>
                <c:pt idx="9">
                  <c:v>31080.063174813426</c:v>
                </c:pt>
              </c:numCache>
            </c:numRef>
          </c:val>
          <c:extLst>
            <c:ext xmlns:c16="http://schemas.microsoft.com/office/drawing/2014/chart" uri="{C3380CC4-5D6E-409C-BE32-E72D297353CC}">
              <c16:uniqueId val="{00000000-55BF-4A04-99A0-6C4C1E4652B0}"/>
            </c:ext>
          </c:extLst>
        </c:ser>
        <c:dLbls>
          <c:showLegendKey val="0"/>
          <c:showVal val="0"/>
          <c:showCatName val="0"/>
          <c:showSerName val="0"/>
          <c:showPercent val="0"/>
          <c:showBubbleSize val="0"/>
        </c:dLbls>
        <c:gapWidth val="150"/>
        <c:axId val="62251688"/>
        <c:axId val="25404132"/>
      </c:barChart>
      <c:catAx>
        <c:axId val="622516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404132"/>
        <c:crosses val="autoZero"/>
        <c:auto val="1"/>
        <c:lblAlgn val="ctr"/>
        <c:lblOffset val="100"/>
        <c:noMultiLvlLbl val="0"/>
      </c:catAx>
      <c:valAx>
        <c:axId val="25404132"/>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Rs. Crores</a:t>
                </a:r>
              </a:p>
            </c:rich>
          </c:tx>
          <c:overlay val="0"/>
          <c:spPr>
            <a:noFill/>
            <a:ln w="0">
              <a:noFill/>
            </a:ln>
          </c:spPr>
        </c:title>
        <c:numFmt formatCode="_(#,##0_);\(#,##0\);_(\–_);_(@_)"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2516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Projected Unlevered FCFF (FY27E-FY31E)</a:t>
            </a:r>
          </a:p>
        </c:rich>
      </c:tx>
      <c:overlay val="0"/>
      <c:spPr>
        <a:noFill/>
        <a:ln w="0">
          <a:noFill/>
        </a:ln>
      </c:spPr>
    </c:title>
    <c:autoTitleDeleted val="0"/>
    <c:plotArea>
      <c:layout/>
      <c:barChart>
        <c:barDir val="col"/>
        <c:grouping val="clustered"/>
        <c:varyColors val="0"/>
        <c:ser>
          <c:idx val="0"/>
          <c:order val="0"/>
          <c:tx>
            <c:strRef>
              <c:f>Outputs!$C$53</c:f>
              <c:strCache>
                <c:ptCount val="1"/>
                <c:pt idx="0">
                  <c:v>FCFF</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Outputs!$B$54:$B$58</c:f>
              <c:strCache>
                <c:ptCount val="5"/>
                <c:pt idx="0">
                  <c:v>2027E</c:v>
                </c:pt>
                <c:pt idx="1">
                  <c:v>2028E</c:v>
                </c:pt>
                <c:pt idx="2">
                  <c:v>2029E</c:v>
                </c:pt>
                <c:pt idx="3">
                  <c:v>2030E</c:v>
                </c:pt>
                <c:pt idx="4">
                  <c:v>2031E</c:v>
                </c:pt>
              </c:strCache>
            </c:strRef>
          </c:cat>
          <c:val>
            <c:numRef>
              <c:f>Outputs!$C$54:$C$58</c:f>
              <c:numCache>
                <c:formatCode>_(#,##0_);\(#,##0\);_(\–_);_(@_)</c:formatCode>
                <c:ptCount val="5"/>
                <c:pt idx="0">
                  <c:v>18334.842313884503</c:v>
                </c:pt>
                <c:pt idx="1">
                  <c:v>20515.967755127458</c:v>
                </c:pt>
                <c:pt idx="2">
                  <c:v>22740.279897867011</c:v>
                </c:pt>
                <c:pt idx="3">
                  <c:v>24875.167894859598</c:v>
                </c:pt>
                <c:pt idx="4">
                  <c:v>26965.310875763982</c:v>
                </c:pt>
              </c:numCache>
            </c:numRef>
          </c:val>
          <c:extLst>
            <c:ext xmlns:c16="http://schemas.microsoft.com/office/drawing/2014/chart" uri="{C3380CC4-5D6E-409C-BE32-E72D297353CC}">
              <c16:uniqueId val="{00000000-A875-41F7-9F50-023A127710D5}"/>
            </c:ext>
          </c:extLst>
        </c:ser>
        <c:dLbls>
          <c:showLegendKey val="0"/>
          <c:showVal val="0"/>
          <c:showCatName val="0"/>
          <c:showSerName val="0"/>
          <c:showPercent val="0"/>
          <c:showBubbleSize val="0"/>
        </c:dLbls>
        <c:gapWidth val="150"/>
        <c:axId val="42729495"/>
        <c:axId val="19445878"/>
      </c:barChart>
      <c:catAx>
        <c:axId val="4272949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9445878"/>
        <c:crosses val="autoZero"/>
        <c:auto val="1"/>
        <c:lblAlgn val="ctr"/>
        <c:lblOffset val="100"/>
        <c:noMultiLvlLbl val="0"/>
      </c:catAx>
      <c:valAx>
        <c:axId val="19445878"/>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Rs. Crores</a:t>
                </a:r>
              </a:p>
            </c:rich>
          </c:tx>
          <c:overlay val="0"/>
          <c:spPr>
            <a:noFill/>
            <a:ln w="0">
              <a:noFill/>
            </a:ln>
          </c:spPr>
        </c:title>
        <c:numFmt formatCode="_(#,##0_);\(#,##0\);_(\–_);_(@_)"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7294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Enterprise Value to Equity Value Bridge</a:t>
            </a:r>
          </a:p>
        </c:rich>
      </c:tx>
      <c:overlay val="0"/>
      <c:spPr>
        <a:noFill/>
        <a:ln w="0">
          <a:noFill/>
        </a:ln>
      </c:spPr>
    </c:title>
    <c:autoTitleDeleted val="0"/>
    <c:plotArea>
      <c:layout/>
      <c:barChart>
        <c:barDir val="col"/>
        <c:grouping val="clustered"/>
        <c:varyColors val="0"/>
        <c:ser>
          <c:idx val="0"/>
          <c:order val="0"/>
          <c:tx>
            <c:strRef>
              <c:f>Outputs!$C$60</c:f>
              <c:strCache>
                <c:ptCount val="1"/>
                <c:pt idx="0">
                  <c:v>Rs. Cr</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Outputs!$B$61:$B$65</c:f>
              <c:strCache>
                <c:ptCount val="5"/>
                <c:pt idx="0">
                  <c:v>Enterprise Value</c:v>
                </c:pt>
                <c:pt idx="1">
                  <c:v>(+) Cash</c:v>
                </c:pt>
                <c:pt idx="2">
                  <c:v>(+) Investments</c:v>
                </c:pt>
                <c:pt idx="3">
                  <c:v>(-) Debt</c:v>
                </c:pt>
                <c:pt idx="4">
                  <c:v>Equity Value</c:v>
                </c:pt>
              </c:strCache>
            </c:strRef>
          </c:cat>
          <c:val>
            <c:numRef>
              <c:f>Outputs!$C$61:$C$65</c:f>
              <c:numCache>
                <c:formatCode>_(#,##0_);\(#,##0\);_(\–_);_(@_)</c:formatCode>
                <c:ptCount val="5"/>
                <c:pt idx="0">
                  <c:v>387229.08841280395</c:v>
                </c:pt>
                <c:pt idx="1">
                  <c:v>643.46</c:v>
                </c:pt>
                <c:pt idx="2">
                  <c:v>38128.43</c:v>
                </c:pt>
                <c:pt idx="3">
                  <c:v>-2186.2199999999998</c:v>
                </c:pt>
                <c:pt idx="4">
                  <c:v>423814.75841280399</c:v>
                </c:pt>
              </c:numCache>
            </c:numRef>
          </c:val>
          <c:extLst>
            <c:ext xmlns:c16="http://schemas.microsoft.com/office/drawing/2014/chart" uri="{C3380CC4-5D6E-409C-BE32-E72D297353CC}">
              <c16:uniqueId val="{00000000-554C-43D6-9EDA-9DEDC1159194}"/>
            </c:ext>
          </c:extLst>
        </c:ser>
        <c:dLbls>
          <c:showLegendKey val="0"/>
          <c:showVal val="0"/>
          <c:showCatName val="0"/>
          <c:showSerName val="0"/>
          <c:showPercent val="0"/>
          <c:showBubbleSize val="0"/>
        </c:dLbls>
        <c:gapWidth val="150"/>
        <c:axId val="4927280"/>
        <c:axId val="4031624"/>
      </c:barChart>
      <c:catAx>
        <c:axId val="492728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31624"/>
        <c:crosses val="autoZero"/>
        <c:auto val="1"/>
        <c:lblAlgn val="ctr"/>
        <c:lblOffset val="100"/>
        <c:noMultiLvlLbl val="0"/>
      </c:catAx>
      <c:valAx>
        <c:axId val="4031624"/>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Rs. Crores</a:t>
                </a:r>
              </a:p>
            </c:rich>
          </c:tx>
          <c:overlay val="0"/>
          <c:spPr>
            <a:noFill/>
            <a:ln w="0">
              <a:noFill/>
            </a:ln>
          </c:spPr>
        </c:title>
        <c:numFmt formatCode="_(#,##0_);\(#,##0\);_(\–_);_(@_)"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272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IN" sz="1800" b="1" strike="noStrike" spc="-1">
                <a:solidFill>
                  <a:srgbClr val="000000"/>
                </a:solidFill>
                <a:latin typeface="Calibri"/>
              </a:defRPr>
            </a:pPr>
            <a:r>
              <a:rPr lang="en-IN" sz="1800" b="1" strike="noStrike" spc="-1">
                <a:solidFill>
                  <a:srgbClr val="000000"/>
                </a:solidFill>
                <a:latin typeface="Calibri"/>
              </a:rPr>
              <a:t>Intrinsic Value per Share vs. Current Market Price</a:t>
            </a:r>
          </a:p>
        </c:rich>
      </c:tx>
      <c:overlay val="0"/>
      <c:spPr>
        <a:noFill/>
        <a:ln w="0">
          <a:noFill/>
        </a:ln>
      </c:spPr>
    </c:title>
    <c:autoTitleDeleted val="0"/>
    <c:plotArea>
      <c:layout/>
      <c:barChart>
        <c:barDir val="col"/>
        <c:grouping val="clustered"/>
        <c:varyColors val="0"/>
        <c:ser>
          <c:idx val="0"/>
          <c:order val="0"/>
          <c:tx>
            <c:strRef>
              <c:f>Outputs!$C$67</c:f>
              <c:strCache>
                <c:ptCount val="1"/>
                <c:pt idx="0">
                  <c:v>Rs. per share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Outputs!$B$68:$B$69</c:f>
              <c:strCache>
                <c:ptCount val="2"/>
                <c:pt idx="0">
                  <c:v>DCF Intrinsic Value</c:v>
                </c:pt>
                <c:pt idx="1">
                  <c:v>Current Market Price</c:v>
                </c:pt>
              </c:strCache>
            </c:strRef>
          </c:cat>
          <c:val>
            <c:numRef>
              <c:f>Outputs!$C$68:$C$69</c:f>
              <c:numCache>
                <c:formatCode>_(#,##0_);\(#,##0\);_(\–_);_(@_)</c:formatCode>
                <c:ptCount val="2"/>
                <c:pt idx="0">
                  <c:v>338.25439229566973</c:v>
                </c:pt>
                <c:pt idx="1">
                  <c:v>285</c:v>
                </c:pt>
              </c:numCache>
            </c:numRef>
          </c:val>
          <c:extLst>
            <c:ext xmlns:c16="http://schemas.microsoft.com/office/drawing/2014/chart" uri="{C3380CC4-5D6E-409C-BE32-E72D297353CC}">
              <c16:uniqueId val="{00000000-2A51-426B-A7FD-6DD732433EB3}"/>
            </c:ext>
          </c:extLst>
        </c:ser>
        <c:dLbls>
          <c:showLegendKey val="0"/>
          <c:showVal val="0"/>
          <c:showCatName val="0"/>
          <c:showSerName val="0"/>
          <c:showPercent val="0"/>
          <c:showBubbleSize val="0"/>
        </c:dLbls>
        <c:gapWidth val="150"/>
        <c:axId val="53984782"/>
        <c:axId val="99560420"/>
      </c:barChart>
      <c:catAx>
        <c:axId val="5398478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560420"/>
        <c:crosses val="autoZero"/>
        <c:auto val="1"/>
        <c:lblAlgn val="ctr"/>
        <c:lblOffset val="100"/>
        <c:noMultiLvlLbl val="0"/>
      </c:catAx>
      <c:valAx>
        <c:axId val="99560420"/>
        <c:scaling>
          <c:orientation val="minMax"/>
        </c:scaling>
        <c:delete val="0"/>
        <c:axPos val="l"/>
        <c:majorGridlines>
          <c:spPr>
            <a:ln w="0">
              <a:solidFill>
                <a:srgbClr val="B3B3B3"/>
              </a:solidFill>
            </a:ln>
          </c:spPr>
        </c:majorGridlines>
        <c:title>
          <c:tx>
            <c:rich>
              <a:bodyPr rot="-5400000"/>
              <a:lstStyle/>
              <a:p>
                <a:pPr>
                  <a:defRPr lang="en-IN" sz="1000" b="1" strike="noStrike" spc="-1">
                    <a:solidFill>
                      <a:srgbClr val="000000"/>
                    </a:solidFill>
                    <a:latin typeface="Calibri"/>
                  </a:defRPr>
                </a:pPr>
                <a:r>
                  <a:rPr lang="en-IN" sz="1000" b="1" strike="noStrike" spc="-1">
                    <a:solidFill>
                      <a:srgbClr val="000000"/>
                    </a:solidFill>
                    <a:latin typeface="Calibri"/>
                  </a:rPr>
                  <a:t>Rs. per Share</a:t>
                </a:r>
              </a:p>
            </c:rich>
          </c:tx>
          <c:overlay val="0"/>
          <c:spPr>
            <a:noFill/>
            <a:ln w="0">
              <a:noFill/>
            </a:ln>
          </c:spPr>
        </c:title>
        <c:numFmt formatCode="_(#,##0_);\(#,##0\);_(\–_);_(@_)"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98478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86</xdr:row>
      <xdr:rowOff>0</xdr:rowOff>
    </xdr:from>
    <xdr:to>
      <xdr:col>5</xdr:col>
      <xdr:colOff>1316160</xdr:colOff>
      <xdr:row>102</xdr:row>
      <xdr:rowOff>12600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103</xdr:row>
      <xdr:rowOff>86400</xdr:rowOff>
    </xdr:from>
    <xdr:to>
      <xdr:col>5</xdr:col>
      <xdr:colOff>1316160</xdr:colOff>
      <xdr:row>119</xdr:row>
      <xdr:rowOff>99000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86</xdr:row>
      <xdr:rowOff>0</xdr:rowOff>
    </xdr:from>
    <xdr:to>
      <xdr:col>21</xdr:col>
      <xdr:colOff>16560</xdr:colOff>
      <xdr:row>102</xdr:row>
      <xdr:rowOff>12600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57600</xdr:colOff>
      <xdr:row>103</xdr:row>
      <xdr:rowOff>86400</xdr:rowOff>
    </xdr:from>
    <xdr:to>
      <xdr:col>19</xdr:col>
      <xdr:colOff>102600</xdr:colOff>
      <xdr:row>119</xdr:row>
      <xdr:rowOff>99000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120</xdr:row>
      <xdr:rowOff>172440</xdr:rowOff>
    </xdr:from>
    <xdr:to>
      <xdr:col>5</xdr:col>
      <xdr:colOff>1316160</xdr:colOff>
      <xdr:row>136</xdr:row>
      <xdr:rowOff>181080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A3952-33E1-4C25-9ED3-A78511D1E608}">
  <sheetPr>
    <tabColor rgb="FFC00000"/>
  </sheetPr>
  <dimension ref="A1:F24"/>
  <sheetViews>
    <sheetView zoomScale="85" zoomScaleNormal="85" workbookViewId="0">
      <pane xSplit="1" ySplit="2" topLeftCell="B4" activePane="bottomRight" state="frozen"/>
      <selection activeCell="B10" activeCellId="1" sqref="A1:F1 B10:B11"/>
      <selection pane="topRight" activeCell="B10" activeCellId="1" sqref="A1:F1 B10:B11"/>
      <selection pane="bottomLeft" activeCell="B10" activeCellId="1" sqref="A1:F1 B10:B11"/>
      <selection pane="bottomRight" activeCell="B10" activeCellId="1" sqref="A1:F1 B10:B11"/>
    </sheetView>
  </sheetViews>
  <sheetFormatPr defaultColWidth="8.6328125" defaultRowHeight="14.5" x14ac:dyDescent="0.35"/>
  <cols>
    <col min="1" max="1" width="50" customWidth="1"/>
    <col min="2" max="2" width="58" customWidth="1"/>
    <col min="3" max="5" width="22" customWidth="1"/>
  </cols>
  <sheetData>
    <row r="1" spans="1:6" ht="30" customHeight="1" x14ac:dyDescent="0.35">
      <c r="A1" s="156" t="s">
        <v>641</v>
      </c>
      <c r="B1" s="156"/>
      <c r="C1" s="156"/>
      <c r="D1" s="156"/>
      <c r="E1" s="156"/>
      <c r="F1" s="156"/>
    </row>
    <row r="2" spans="1:6" ht="21.75" customHeight="1" x14ac:dyDescent="0.35">
      <c r="A2" s="109" t="s">
        <v>642</v>
      </c>
      <c r="B2" s="109" t="s">
        <v>643</v>
      </c>
      <c r="C2" s="109" t="s">
        <v>644</v>
      </c>
      <c r="D2" s="109" t="s">
        <v>645</v>
      </c>
      <c r="E2" s="109" t="s">
        <v>646</v>
      </c>
    </row>
    <row r="3" spans="1:6" ht="54.75" customHeight="1" x14ac:dyDescent="0.35">
      <c r="A3" s="157" t="s">
        <v>647</v>
      </c>
      <c r="B3" s="157"/>
      <c r="C3" s="157"/>
      <c r="D3" s="157"/>
      <c r="E3" s="157"/>
      <c r="F3" s="157"/>
    </row>
    <row r="4" spans="1:6" ht="18" customHeight="1" thickBot="1" x14ac:dyDescent="0.4">
      <c r="A4" s="154" t="s">
        <v>648</v>
      </c>
      <c r="B4" s="154"/>
      <c r="C4" s="154"/>
      <c r="D4" s="154"/>
      <c r="E4" s="154"/>
      <c r="F4" s="154"/>
    </row>
    <row r="5" spans="1:6" ht="39.75" customHeight="1" x14ac:dyDescent="0.35">
      <c r="A5" s="110" t="s">
        <v>649</v>
      </c>
      <c r="B5" s="111" t="s">
        <v>650</v>
      </c>
      <c r="C5" s="112">
        <v>1.4102486033252499</v>
      </c>
      <c r="D5" s="112">
        <v>1.06143445361392</v>
      </c>
      <c r="E5" s="112">
        <v>0.75444096985020603</v>
      </c>
    </row>
    <row r="6" spans="1:6" ht="39.75" customHeight="1" x14ac:dyDescent="0.35">
      <c r="A6" s="113" t="s">
        <v>651</v>
      </c>
      <c r="B6" s="114" t="s">
        <v>652</v>
      </c>
      <c r="C6" s="115" t="s">
        <v>653</v>
      </c>
      <c r="D6" s="115" t="s">
        <v>654</v>
      </c>
      <c r="E6" s="115" t="s">
        <v>655</v>
      </c>
    </row>
    <row r="7" spans="1:6" ht="39.75" customHeight="1" x14ac:dyDescent="0.35">
      <c r="A7" s="110" t="s">
        <v>656</v>
      </c>
      <c r="B7" s="111" t="s">
        <v>657</v>
      </c>
      <c r="C7" s="112">
        <v>0.97805964045229299</v>
      </c>
      <c r="D7" s="112">
        <v>1.0438919879159401</v>
      </c>
      <c r="E7" s="112">
        <v>0.95322474409668001</v>
      </c>
    </row>
    <row r="8" spans="1:6" ht="39.75" customHeight="1" x14ac:dyDescent="0.35">
      <c r="A8" s="110" t="s">
        <v>658</v>
      </c>
      <c r="B8" s="111" t="s">
        <v>659</v>
      </c>
      <c r="C8" s="112">
        <v>1.03155541769241</v>
      </c>
      <c r="D8" s="112">
        <v>1.0081412927045601</v>
      </c>
      <c r="E8" s="112">
        <v>0.89865864756132097</v>
      </c>
    </row>
    <row r="9" spans="1:6" ht="39.75" customHeight="1" x14ac:dyDescent="0.35">
      <c r="A9" s="110" t="s">
        <v>660</v>
      </c>
      <c r="B9" s="111" t="s">
        <v>661</v>
      </c>
      <c r="C9" s="112">
        <v>0.96567117814177805</v>
      </c>
      <c r="D9" s="112">
        <v>1.1044958799687601</v>
      </c>
      <c r="E9" s="112">
        <v>1.10170649743827</v>
      </c>
    </row>
    <row r="10" spans="1:6" ht="39.75" customHeight="1" x14ac:dyDescent="0.35">
      <c r="A10" s="110" t="s">
        <v>662</v>
      </c>
      <c r="B10" s="111" t="s">
        <v>663</v>
      </c>
      <c r="C10" s="112">
        <v>1.0816304218813999</v>
      </c>
      <c r="D10" s="112">
        <v>0.724786690342474</v>
      </c>
      <c r="E10" s="112">
        <v>1.1287011032580201</v>
      </c>
    </row>
    <row r="11" spans="1:6" ht="39.75" customHeight="1" x14ac:dyDescent="0.35">
      <c r="A11" s="110" t="s">
        <v>664</v>
      </c>
      <c r="B11" s="111" t="s">
        <v>665</v>
      </c>
      <c r="C11" s="112">
        <v>0.99846290152476003</v>
      </c>
      <c r="D11" s="112">
        <v>0.99847349340487801</v>
      </c>
      <c r="E11" s="112">
        <v>0.99073479415153798</v>
      </c>
    </row>
    <row r="12" spans="1:6" ht="39.75" customHeight="1" x14ac:dyDescent="0.35">
      <c r="A12" s="110" t="s">
        <v>666</v>
      </c>
      <c r="B12" s="111" t="s">
        <v>667</v>
      </c>
      <c r="C12" s="112">
        <v>2.09961207958797</v>
      </c>
      <c r="D12" s="112">
        <v>0.86461949181574504</v>
      </c>
      <c r="E12" s="112">
        <v>1.1184353474291</v>
      </c>
    </row>
    <row r="13" spans="1:6" ht="39.75" customHeight="1" x14ac:dyDescent="0.35">
      <c r="A13" s="110" t="s">
        <v>668</v>
      </c>
      <c r="B13" s="111" t="s">
        <v>669</v>
      </c>
      <c r="C13" s="112">
        <v>-4.0590829454264501E-3</v>
      </c>
      <c r="D13" s="112">
        <v>2.6501100911015701E-3</v>
      </c>
      <c r="E13" s="112">
        <v>2.93354321534436E-2</v>
      </c>
    </row>
    <row r="14" spans="1:6" ht="18" customHeight="1" thickBot="1" x14ac:dyDescent="0.4">
      <c r="A14" s="154" t="s">
        <v>670</v>
      </c>
      <c r="B14" s="154"/>
      <c r="C14" s="154"/>
      <c r="D14" s="154"/>
      <c r="E14" s="154"/>
      <c r="F14" s="154"/>
    </row>
    <row r="15" spans="1:6" ht="39.75" customHeight="1" x14ac:dyDescent="0.35">
      <c r="A15" s="116" t="s">
        <v>671</v>
      </c>
      <c r="B15" s="114" t="s">
        <v>672</v>
      </c>
      <c r="C15" s="117">
        <v>-2.5009424348045699</v>
      </c>
      <c r="D15" s="117">
        <v>-2.2785236060545402</v>
      </c>
      <c r="E15" s="117">
        <v>-2.5659049828078002</v>
      </c>
    </row>
    <row r="16" spans="1:6" ht="30" customHeight="1" x14ac:dyDescent="0.35">
      <c r="A16" s="118" t="s">
        <v>673</v>
      </c>
      <c r="B16" s="119" t="s">
        <v>674</v>
      </c>
      <c r="C16" s="120" t="s">
        <v>675</v>
      </c>
      <c r="D16" s="120" t="s">
        <v>675</v>
      </c>
      <c r="E16" s="120" t="s">
        <v>675</v>
      </c>
    </row>
    <row r="17" spans="1:6" ht="18" customHeight="1" thickBot="1" x14ac:dyDescent="0.4">
      <c r="A17" s="154" t="s">
        <v>676</v>
      </c>
      <c r="B17" s="154"/>
      <c r="C17" s="154"/>
      <c r="D17" s="154"/>
      <c r="E17" s="154"/>
      <c r="F17" s="154"/>
    </row>
    <row r="18" spans="1:6" ht="37.5" customHeight="1" x14ac:dyDescent="0.35">
      <c r="A18" s="153" t="s">
        <v>677</v>
      </c>
      <c r="B18" s="153"/>
      <c r="C18" s="153"/>
      <c r="D18" s="153"/>
      <c r="E18" s="153"/>
      <c r="F18" s="153"/>
    </row>
    <row r="19" spans="1:6" ht="37.5" customHeight="1" x14ac:dyDescent="0.35">
      <c r="A19" s="153" t="s">
        <v>678</v>
      </c>
      <c r="B19" s="153"/>
      <c r="C19" s="153"/>
      <c r="D19" s="153"/>
      <c r="E19" s="153"/>
      <c r="F19" s="153"/>
    </row>
    <row r="20" spans="1:6" ht="37.5" customHeight="1" x14ac:dyDescent="0.35">
      <c r="A20" s="153" t="s">
        <v>679</v>
      </c>
      <c r="B20" s="153"/>
      <c r="C20" s="153"/>
      <c r="D20" s="153"/>
      <c r="E20" s="153"/>
      <c r="F20" s="153"/>
    </row>
    <row r="21" spans="1:6" ht="37.5" customHeight="1" x14ac:dyDescent="0.35">
      <c r="A21" s="153" t="s">
        <v>680</v>
      </c>
      <c r="B21" s="153"/>
      <c r="C21" s="153"/>
      <c r="D21" s="153"/>
      <c r="E21" s="153"/>
      <c r="F21" s="153"/>
    </row>
    <row r="22" spans="1:6" ht="37.5" customHeight="1" x14ac:dyDescent="0.35">
      <c r="A22" s="153" t="s">
        <v>681</v>
      </c>
      <c r="B22" s="153"/>
      <c r="C22" s="153"/>
      <c r="D22" s="153"/>
      <c r="E22" s="153"/>
      <c r="F22" s="153"/>
    </row>
    <row r="23" spans="1:6" ht="18" customHeight="1" thickBot="1" x14ac:dyDescent="0.4">
      <c r="A23" s="154" t="s">
        <v>682</v>
      </c>
      <c r="B23" s="154"/>
      <c r="C23" s="154"/>
      <c r="D23" s="154"/>
      <c r="E23" s="154"/>
      <c r="F23" s="154"/>
    </row>
    <row r="24" spans="1:6" ht="139.5" customHeight="1" x14ac:dyDescent="0.35">
      <c r="A24" s="155" t="s">
        <v>683</v>
      </c>
      <c r="B24" s="155"/>
      <c r="C24" s="155"/>
      <c r="D24" s="155"/>
      <c r="E24" s="155"/>
      <c r="F24" s="155"/>
    </row>
  </sheetData>
  <mergeCells count="12">
    <mergeCell ref="A24:F24"/>
    <mergeCell ref="A1:F1"/>
    <mergeCell ref="A3:F3"/>
    <mergeCell ref="A4:F4"/>
    <mergeCell ref="A14:F14"/>
    <mergeCell ref="A17:F17"/>
    <mergeCell ref="A18:F18"/>
    <mergeCell ref="A19:F19"/>
    <mergeCell ref="A20:F20"/>
    <mergeCell ref="A21:F21"/>
    <mergeCell ref="A22:F22"/>
    <mergeCell ref="A23:F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CD18-5F94-4CBB-9DB8-6A67CF26F766}">
  <sheetPr>
    <tabColor rgb="FF7030A0"/>
  </sheetPr>
  <dimension ref="A1:F42"/>
  <sheetViews>
    <sheetView zoomScaleNormal="100" workbookViewId="0">
      <pane xSplit="1" ySplit="2" topLeftCell="B3" activePane="bottomRight" state="frozen"/>
      <selection activeCell="B10" activeCellId="1" sqref="A1:F1 B10:B11"/>
      <selection pane="topRight" activeCell="B10" activeCellId="1" sqref="A1:F1 B10:B11"/>
      <selection pane="bottomLeft" activeCell="B10" activeCellId="1" sqref="A1:F1 B10:B11"/>
      <selection pane="bottomRight" activeCell="B10" activeCellId="1" sqref="A1:F1 B10:B11"/>
    </sheetView>
  </sheetViews>
  <sheetFormatPr defaultColWidth="8.6328125" defaultRowHeight="14.5" x14ac:dyDescent="0.35"/>
  <cols>
    <col min="1" max="1" width="50" customWidth="1"/>
    <col min="2" max="2" width="55" customWidth="1"/>
    <col min="3" max="5" width="18" customWidth="1"/>
  </cols>
  <sheetData>
    <row r="1" spans="1:6" ht="30" customHeight="1" x14ac:dyDescent="0.35">
      <c r="A1" s="156" t="s">
        <v>684</v>
      </c>
      <c r="B1" s="156"/>
      <c r="C1" s="156"/>
      <c r="D1" s="156"/>
      <c r="E1" s="156"/>
      <c r="F1" s="156"/>
    </row>
    <row r="2" spans="1:6" ht="21.75" customHeight="1" x14ac:dyDescent="0.35">
      <c r="A2" s="109" t="s">
        <v>685</v>
      </c>
      <c r="B2" s="109" t="s">
        <v>686</v>
      </c>
      <c r="C2" s="109" t="s">
        <v>687</v>
      </c>
      <c r="D2" s="109" t="s">
        <v>688</v>
      </c>
      <c r="E2" s="109" t="s">
        <v>689</v>
      </c>
    </row>
    <row r="3" spans="1:6" ht="18" customHeight="1" thickBot="1" x14ac:dyDescent="0.4">
      <c r="A3" s="154" t="s">
        <v>690</v>
      </c>
      <c r="B3" s="154"/>
      <c r="C3" s="154"/>
      <c r="D3" s="154"/>
      <c r="E3" s="154"/>
      <c r="F3" s="154"/>
    </row>
    <row r="4" spans="1:6" ht="54.75" customHeight="1" x14ac:dyDescent="0.35">
      <c r="A4" s="157" t="s">
        <v>691</v>
      </c>
      <c r="B4" s="157"/>
      <c r="C4" s="157"/>
      <c r="D4" s="157"/>
      <c r="E4" s="157"/>
      <c r="F4" s="157"/>
    </row>
    <row r="5" spans="1:6" ht="18" customHeight="1" thickBot="1" x14ac:dyDescent="0.4">
      <c r="A5" s="154" t="s">
        <v>692</v>
      </c>
      <c r="B5" s="154"/>
      <c r="C5" s="154"/>
      <c r="D5" s="154"/>
      <c r="E5" s="154"/>
      <c r="F5" s="154"/>
    </row>
    <row r="6" spans="1:6" ht="36" customHeight="1" x14ac:dyDescent="0.35">
      <c r="A6" s="110" t="s">
        <v>693</v>
      </c>
      <c r="B6" s="111" t="s">
        <v>694</v>
      </c>
      <c r="C6" s="121">
        <v>91826.16</v>
      </c>
      <c r="D6" s="121">
        <v>88090.68</v>
      </c>
      <c r="E6" s="121">
        <v>93792.38</v>
      </c>
    </row>
    <row r="7" spans="1:6" ht="36" customHeight="1" x14ac:dyDescent="0.35">
      <c r="A7" s="110" t="s">
        <v>695</v>
      </c>
      <c r="B7" s="111" t="s">
        <v>694</v>
      </c>
      <c r="C7" s="121">
        <v>41065.54</v>
      </c>
      <c r="D7" s="121">
        <v>43893.279999999999</v>
      </c>
      <c r="E7" s="121">
        <v>50708.41</v>
      </c>
    </row>
    <row r="8" spans="1:6" ht="36" customHeight="1" x14ac:dyDescent="0.35">
      <c r="A8" s="110" t="s">
        <v>696</v>
      </c>
      <c r="B8" s="111" t="s">
        <v>694</v>
      </c>
      <c r="C8" s="121">
        <v>13690.4</v>
      </c>
      <c r="D8" s="121">
        <v>14334.11</v>
      </c>
      <c r="E8" s="121">
        <v>16687.27</v>
      </c>
    </row>
    <row r="9" spans="1:6" ht="36" customHeight="1" x14ac:dyDescent="0.35">
      <c r="A9" s="110" t="s">
        <v>697</v>
      </c>
      <c r="B9" s="111" t="s">
        <v>698</v>
      </c>
      <c r="C9" s="121">
        <v>27375.14</v>
      </c>
      <c r="D9" s="121">
        <v>29559.17</v>
      </c>
      <c r="E9" s="121">
        <v>34021.14</v>
      </c>
    </row>
    <row r="10" spans="1:6" ht="36" customHeight="1" x14ac:dyDescent="0.35">
      <c r="A10" s="110" t="s">
        <v>699</v>
      </c>
      <c r="B10" s="111" t="s">
        <v>694</v>
      </c>
      <c r="C10" s="121">
        <v>74889.97</v>
      </c>
      <c r="D10" s="121">
        <v>70397.94</v>
      </c>
      <c r="E10" s="121">
        <v>72873.02</v>
      </c>
    </row>
    <row r="11" spans="1:6" ht="36" customHeight="1" x14ac:dyDescent="0.35">
      <c r="A11" s="110" t="s">
        <v>700</v>
      </c>
      <c r="B11" s="111" t="s">
        <v>701</v>
      </c>
      <c r="C11" s="121">
        <v>73258.53</v>
      </c>
      <c r="D11" s="121">
        <v>68778.64</v>
      </c>
      <c r="E11" s="121">
        <v>71254.350000000006</v>
      </c>
    </row>
    <row r="12" spans="1:6" ht="36" customHeight="1" x14ac:dyDescent="0.35">
      <c r="A12" s="110" t="s">
        <v>455</v>
      </c>
      <c r="B12" s="111" t="s">
        <v>702</v>
      </c>
      <c r="C12" s="121">
        <v>26439.39</v>
      </c>
      <c r="D12" s="121">
        <v>26972</v>
      </c>
      <c r="E12" s="121">
        <v>28410.26</v>
      </c>
    </row>
    <row r="13" spans="1:6" ht="36" customHeight="1" x14ac:dyDescent="0.35">
      <c r="A13" s="110" t="s">
        <v>703</v>
      </c>
      <c r="B13" s="111" t="s">
        <v>704</v>
      </c>
      <c r="C13" s="121">
        <v>73891.429999999993</v>
      </c>
      <c r="D13" s="121">
        <v>81612.78</v>
      </c>
      <c r="E13" s="121">
        <v>89913.33</v>
      </c>
    </row>
    <row r="14" spans="1:6" ht="36" customHeight="1" x14ac:dyDescent="0.35">
      <c r="A14" s="110" t="s">
        <v>705</v>
      </c>
      <c r="B14" s="111" t="s">
        <v>706</v>
      </c>
      <c r="C14" s="121">
        <v>13701.68</v>
      </c>
      <c r="D14" s="121">
        <v>14425.37</v>
      </c>
      <c r="E14" s="121">
        <v>18873.490000000002</v>
      </c>
    </row>
    <row r="15" spans="1:6" ht="36" customHeight="1" x14ac:dyDescent="0.35">
      <c r="A15" s="110" t="s">
        <v>707</v>
      </c>
      <c r="B15" s="111" t="s">
        <v>708</v>
      </c>
      <c r="C15" s="122">
        <v>520000</v>
      </c>
      <c r="D15" s="122">
        <v>540000</v>
      </c>
      <c r="E15" s="122">
        <v>555000</v>
      </c>
    </row>
    <row r="16" spans="1:6" ht="18" customHeight="1" thickBot="1" x14ac:dyDescent="0.4">
      <c r="A16" s="154" t="s">
        <v>709</v>
      </c>
      <c r="B16" s="154"/>
      <c r="C16" s="154"/>
      <c r="D16" s="154"/>
      <c r="E16" s="154"/>
      <c r="F16" s="154"/>
    </row>
    <row r="17" spans="1:6" ht="36" customHeight="1" x14ac:dyDescent="0.35">
      <c r="A17" s="110" t="s">
        <v>710</v>
      </c>
      <c r="B17" s="111" t="s">
        <v>711</v>
      </c>
      <c r="C17" s="112">
        <v>0.298119185208224</v>
      </c>
      <c r="D17" s="112">
        <v>0.33555388606377001</v>
      </c>
      <c r="E17" s="112">
        <v>0.36272818751373997</v>
      </c>
    </row>
    <row r="18" spans="1:6" ht="36" customHeight="1" x14ac:dyDescent="0.35">
      <c r="A18" s="110" t="s">
        <v>712</v>
      </c>
      <c r="B18" s="111" t="s">
        <v>713</v>
      </c>
      <c r="C18" s="112">
        <v>0.35774302224986898</v>
      </c>
      <c r="D18" s="112">
        <v>0.402664663276524</v>
      </c>
      <c r="E18" s="112">
        <v>0.43527382501648898</v>
      </c>
    </row>
    <row r="19" spans="1:6" ht="36" customHeight="1" x14ac:dyDescent="0.35">
      <c r="A19" s="110" t="s">
        <v>714</v>
      </c>
      <c r="B19" s="111" t="s">
        <v>715</v>
      </c>
      <c r="C19" s="112">
        <v>0.797795856866932</v>
      </c>
      <c r="D19" s="112">
        <v>0.78077090561680296</v>
      </c>
      <c r="E19" s="112">
        <v>0.75970297373837803</v>
      </c>
    </row>
    <row r="20" spans="1:6" ht="36" customHeight="1" x14ac:dyDescent="0.35">
      <c r="A20" s="110" t="s">
        <v>716</v>
      </c>
      <c r="B20" s="111" t="s">
        <v>713</v>
      </c>
      <c r="C20" s="112">
        <v>1.11691419961371</v>
      </c>
      <c r="D20" s="112">
        <v>1.0930792678635199</v>
      </c>
      <c r="E20" s="112">
        <v>1.06358416323373</v>
      </c>
    </row>
    <row r="21" spans="1:6" ht="36" customHeight="1" x14ac:dyDescent="0.35">
      <c r="A21" s="110" t="s">
        <v>717</v>
      </c>
      <c r="B21" s="111" t="s">
        <v>718</v>
      </c>
      <c r="C21" s="112">
        <v>0.28792873403396202</v>
      </c>
      <c r="D21" s="112">
        <v>0.306184490799708</v>
      </c>
      <c r="E21" s="112">
        <v>0.30290584373698598</v>
      </c>
    </row>
    <row r="22" spans="1:6" ht="36" customHeight="1" x14ac:dyDescent="0.35">
      <c r="A22" s="110" t="s">
        <v>719</v>
      </c>
      <c r="B22" s="111" t="s">
        <v>720</v>
      </c>
      <c r="C22" s="112">
        <v>0.950164822312073</v>
      </c>
      <c r="D22" s="112">
        <v>1.0104088196390399</v>
      </c>
      <c r="E22" s="112">
        <v>0.99958928433205296</v>
      </c>
    </row>
    <row r="23" spans="1:6" ht="36" customHeight="1" x14ac:dyDescent="0.35">
      <c r="A23" s="110" t="s">
        <v>721</v>
      </c>
      <c r="B23" s="111" t="s">
        <v>722</v>
      </c>
      <c r="C23" s="123">
        <v>37.9515504668041</v>
      </c>
      <c r="D23" s="123">
        <v>37.434048485411502</v>
      </c>
      <c r="E23" s="123">
        <v>29.4063260160151</v>
      </c>
    </row>
    <row r="24" spans="1:6" ht="36" customHeight="1" x14ac:dyDescent="0.35">
      <c r="A24" s="110" t="s">
        <v>723</v>
      </c>
      <c r="B24" s="111" t="s">
        <v>713</v>
      </c>
      <c r="C24" s="112">
        <v>22.7709302800824</v>
      </c>
      <c r="D24" s="112">
        <v>22.460429091246901</v>
      </c>
      <c r="E24" s="112">
        <v>17.643795609609001</v>
      </c>
    </row>
    <row r="25" spans="1:6" ht="36" customHeight="1" x14ac:dyDescent="0.35">
      <c r="A25" s="110" t="s">
        <v>724</v>
      </c>
      <c r="B25" s="111" t="s">
        <v>725</v>
      </c>
      <c r="C25" s="112">
        <v>0.804688228278303</v>
      </c>
      <c r="D25" s="112">
        <v>0.92646327625124503</v>
      </c>
      <c r="E25" s="112">
        <v>0.95864216261491597</v>
      </c>
    </row>
    <row r="26" spans="1:6" ht="36" customHeight="1" x14ac:dyDescent="0.35">
      <c r="A26" s="110" t="s">
        <v>726</v>
      </c>
      <c r="B26" s="111" t="s">
        <v>713</v>
      </c>
      <c r="C26" s="112">
        <v>0.804688228278303</v>
      </c>
      <c r="D26" s="112">
        <v>0.92646327625124503</v>
      </c>
      <c r="E26" s="112">
        <v>0.95864216261491597</v>
      </c>
    </row>
    <row r="27" spans="1:6" ht="18" customHeight="1" thickBot="1" x14ac:dyDescent="0.4">
      <c r="A27" s="154" t="s">
        <v>727</v>
      </c>
      <c r="B27" s="154"/>
      <c r="C27" s="154"/>
      <c r="D27" s="154"/>
      <c r="E27" s="154"/>
      <c r="F27" s="154"/>
    </row>
    <row r="28" spans="1:6" ht="36" customHeight="1" x14ac:dyDescent="0.35">
      <c r="A28" s="116" t="s">
        <v>728</v>
      </c>
      <c r="B28" s="114" t="s">
        <v>729</v>
      </c>
      <c r="C28" s="117">
        <v>26.0004405525364</v>
      </c>
      <c r="D28" s="117">
        <v>25.8930451182772</v>
      </c>
      <c r="E28" s="117">
        <v>21.100885044806201</v>
      </c>
    </row>
    <row r="29" spans="1:6" ht="21.75" customHeight="1" x14ac:dyDescent="0.35">
      <c r="A29" s="118" t="s">
        <v>730</v>
      </c>
      <c r="B29" s="119" t="s">
        <v>731</v>
      </c>
      <c r="C29" s="124" t="s">
        <v>732</v>
      </c>
      <c r="D29" s="124" t="s">
        <v>732</v>
      </c>
      <c r="E29" s="124" t="s">
        <v>732</v>
      </c>
    </row>
    <row r="30" spans="1:6" ht="18" customHeight="1" thickBot="1" x14ac:dyDescent="0.4">
      <c r="A30" s="154" t="s">
        <v>733</v>
      </c>
      <c r="B30" s="154"/>
      <c r="C30" s="154"/>
      <c r="D30" s="154"/>
      <c r="E30" s="154"/>
      <c r="F30" s="154"/>
    </row>
    <row r="31" spans="1:6" ht="36" customHeight="1" x14ac:dyDescent="0.35">
      <c r="A31" s="110" t="s">
        <v>710</v>
      </c>
      <c r="B31" s="111" t="s">
        <v>734</v>
      </c>
      <c r="C31" s="112">
        <v>0.298119185208224</v>
      </c>
      <c r="D31" s="112">
        <v>0.33555388606377001</v>
      </c>
      <c r="E31" s="112">
        <v>0.36272818751373997</v>
      </c>
    </row>
    <row r="32" spans="1:6" ht="36" customHeight="1" x14ac:dyDescent="0.35">
      <c r="A32" s="110" t="s">
        <v>735</v>
      </c>
      <c r="B32" s="111" t="s">
        <v>713</v>
      </c>
      <c r="C32" s="112">
        <v>1.9556618549659499</v>
      </c>
      <c r="D32" s="112">
        <v>2.2012334925783299</v>
      </c>
      <c r="E32" s="112">
        <v>2.3794969100901402</v>
      </c>
    </row>
    <row r="33" spans="1:6" ht="36" customHeight="1" x14ac:dyDescent="0.35">
      <c r="A33" s="110" t="s">
        <v>714</v>
      </c>
      <c r="B33" s="111" t="s">
        <v>734</v>
      </c>
      <c r="C33" s="112">
        <v>0.797795856866932</v>
      </c>
      <c r="D33" s="112">
        <v>0.78077090561680296</v>
      </c>
      <c r="E33" s="112">
        <v>0.75970297373837803</v>
      </c>
    </row>
    <row r="34" spans="1:6" ht="36" customHeight="1" x14ac:dyDescent="0.35">
      <c r="A34" s="110" t="s">
        <v>736</v>
      </c>
      <c r="B34" s="111" t="s">
        <v>713</v>
      </c>
      <c r="C34" s="112">
        <v>2.6008144933862001</v>
      </c>
      <c r="D34" s="112">
        <v>2.5453131523107801</v>
      </c>
      <c r="E34" s="112">
        <v>2.4766316943871098</v>
      </c>
    </row>
    <row r="35" spans="1:6" ht="36" customHeight="1" x14ac:dyDescent="0.35">
      <c r="A35" s="110" t="s">
        <v>717</v>
      </c>
      <c r="B35" s="111" t="s">
        <v>734</v>
      </c>
      <c r="C35" s="112">
        <v>0.28792873403396202</v>
      </c>
      <c r="D35" s="112">
        <v>0.306184490799708</v>
      </c>
      <c r="E35" s="112">
        <v>0.30290584373698598</v>
      </c>
    </row>
    <row r="36" spans="1:6" ht="36" customHeight="1" x14ac:dyDescent="0.35">
      <c r="A36" s="110" t="s">
        <v>737</v>
      </c>
      <c r="B36" s="111" t="s">
        <v>713</v>
      </c>
      <c r="C36" s="112">
        <v>1.9348810927082201</v>
      </c>
      <c r="D36" s="112">
        <v>2.0575597781740398</v>
      </c>
      <c r="E36" s="112">
        <v>2.0355272699125502</v>
      </c>
    </row>
    <row r="37" spans="1:6" ht="36" customHeight="1" x14ac:dyDescent="0.35">
      <c r="A37" s="110" t="s">
        <v>738</v>
      </c>
      <c r="B37" s="111" t="s">
        <v>739</v>
      </c>
      <c r="C37" s="123">
        <v>4.4218900472892697</v>
      </c>
      <c r="D37" s="123">
        <v>3.97891677603356</v>
      </c>
      <c r="E37" s="123">
        <v>3.4835205283526798</v>
      </c>
    </row>
    <row r="38" spans="1:6" ht="36" customHeight="1" x14ac:dyDescent="0.35">
      <c r="A38" s="110" t="s">
        <v>740</v>
      </c>
      <c r="B38" s="111" t="s">
        <v>713</v>
      </c>
      <c r="C38" s="112">
        <v>4.6429845496537299</v>
      </c>
      <c r="D38" s="112">
        <v>4.1778626148352398</v>
      </c>
      <c r="E38" s="112">
        <v>3.65769655477032</v>
      </c>
    </row>
    <row r="39" spans="1:6" ht="36" customHeight="1" x14ac:dyDescent="0.35">
      <c r="A39" s="116" t="s">
        <v>741</v>
      </c>
      <c r="B39" s="114" t="s">
        <v>742</v>
      </c>
      <c r="C39" s="117">
        <v>11.1343419907141</v>
      </c>
      <c r="D39" s="117">
        <v>10.9819690378984</v>
      </c>
      <c r="E39" s="117">
        <v>10.5493524291601</v>
      </c>
    </row>
    <row r="40" spans="1:6" ht="21.75" customHeight="1" x14ac:dyDescent="0.35">
      <c r="A40" s="118" t="s">
        <v>743</v>
      </c>
      <c r="B40" s="119" t="s">
        <v>744</v>
      </c>
      <c r="C40" s="124" t="s">
        <v>745</v>
      </c>
      <c r="D40" s="124" t="s">
        <v>745</v>
      </c>
      <c r="E40" s="124" t="s">
        <v>745</v>
      </c>
    </row>
    <row r="41" spans="1:6" ht="18" customHeight="1" thickBot="1" x14ac:dyDescent="0.4">
      <c r="A41" s="154" t="s">
        <v>746</v>
      </c>
      <c r="B41" s="154"/>
      <c r="C41" s="154"/>
      <c r="D41" s="154"/>
      <c r="E41" s="154"/>
      <c r="F41" s="154"/>
    </row>
    <row r="42" spans="1:6" ht="139.5" customHeight="1" x14ac:dyDescent="0.35">
      <c r="A42" s="155" t="s">
        <v>747</v>
      </c>
      <c r="B42" s="155"/>
      <c r="C42" s="155"/>
      <c r="D42" s="155"/>
      <c r="E42" s="155"/>
      <c r="F42" s="155"/>
    </row>
  </sheetData>
  <mergeCells count="9">
    <mergeCell ref="A30:F30"/>
    <mergeCell ref="A41:F41"/>
    <mergeCell ref="A42:F42"/>
    <mergeCell ref="A1:F1"/>
    <mergeCell ref="A3:F3"/>
    <mergeCell ref="A4:F4"/>
    <mergeCell ref="A5:F5"/>
    <mergeCell ref="A16:F16"/>
    <mergeCell ref="A27:F2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CB32-A883-4E31-9FDF-05EA8602CC14}">
  <sheetPr>
    <tabColor rgb="FF217346"/>
  </sheetPr>
  <dimension ref="A1:G31"/>
  <sheetViews>
    <sheetView zoomScaleNormal="100" workbookViewId="0">
      <pane xSplit="1" ySplit="2" topLeftCell="B3" activePane="bottomRight" state="frozen"/>
      <selection activeCell="B10" activeCellId="1" sqref="A1:F1 B10:B11"/>
      <selection pane="topRight" activeCell="B10" activeCellId="1" sqref="A1:F1 B10:B11"/>
      <selection pane="bottomLeft" activeCell="B10" activeCellId="1" sqref="A1:F1 B10:B11"/>
      <selection pane="bottomRight" activeCell="B10" activeCellId="1" sqref="A1:G1 B10:B11"/>
    </sheetView>
  </sheetViews>
  <sheetFormatPr defaultColWidth="8.6328125" defaultRowHeight="14.5" x14ac:dyDescent="0.35"/>
  <cols>
    <col min="1" max="1" width="40" customWidth="1"/>
    <col min="2" max="2" width="50" customWidth="1"/>
    <col min="3" max="5" width="16" customWidth="1"/>
    <col min="6" max="6" width="14" customWidth="1"/>
    <col min="7" max="7" width="58" customWidth="1"/>
  </cols>
  <sheetData>
    <row r="1" spans="1:7" ht="30" customHeight="1" x14ac:dyDescent="0.35">
      <c r="A1" s="156" t="s">
        <v>748</v>
      </c>
      <c r="B1" s="156"/>
      <c r="C1" s="156"/>
      <c r="D1" s="156"/>
      <c r="E1" s="156"/>
      <c r="F1" s="156"/>
      <c r="G1" s="156"/>
    </row>
    <row r="2" spans="1:7" ht="21.75" customHeight="1" x14ac:dyDescent="0.35">
      <c r="A2" s="109" t="s">
        <v>165</v>
      </c>
      <c r="B2" s="109" t="s">
        <v>643</v>
      </c>
      <c r="C2" s="109" t="s">
        <v>687</v>
      </c>
      <c r="D2" s="109" t="s">
        <v>688</v>
      </c>
      <c r="E2" s="109" t="s">
        <v>689</v>
      </c>
      <c r="F2" s="109" t="s">
        <v>749</v>
      </c>
      <c r="G2" s="109" t="s">
        <v>750</v>
      </c>
    </row>
    <row r="3" spans="1:7" ht="18" customHeight="1" thickBot="1" x14ac:dyDescent="0.4">
      <c r="A3" s="154" t="s">
        <v>751</v>
      </c>
      <c r="B3" s="154"/>
      <c r="C3" s="154"/>
      <c r="D3" s="154"/>
      <c r="E3" s="154"/>
      <c r="F3" s="154"/>
      <c r="G3" s="154"/>
    </row>
    <row r="4" spans="1:7" ht="45" customHeight="1" x14ac:dyDescent="0.35">
      <c r="A4" s="118" t="s">
        <v>752</v>
      </c>
      <c r="B4" s="125" t="s">
        <v>753</v>
      </c>
      <c r="C4" s="126">
        <v>26400.28</v>
      </c>
      <c r="D4" s="126">
        <v>26926.94</v>
      </c>
      <c r="E4" s="126">
        <v>28033.39</v>
      </c>
      <c r="F4" s="127" t="s">
        <v>754</v>
      </c>
      <c r="G4" s="128" t="s">
        <v>755</v>
      </c>
    </row>
    <row r="5" spans="1:7" ht="45" customHeight="1" x14ac:dyDescent="0.35">
      <c r="A5" s="110" t="s">
        <v>756</v>
      </c>
      <c r="B5" s="125" t="s">
        <v>757</v>
      </c>
      <c r="C5" s="121">
        <v>1816.39</v>
      </c>
      <c r="D5" s="121">
        <v>1950.58</v>
      </c>
      <c r="E5" s="121">
        <v>1710.53</v>
      </c>
      <c r="F5" s="129" t="s">
        <v>758</v>
      </c>
      <c r="G5" s="128" t="s">
        <v>759</v>
      </c>
    </row>
    <row r="6" spans="1:7" ht="45" customHeight="1" x14ac:dyDescent="0.35">
      <c r="A6" s="110" t="s">
        <v>760</v>
      </c>
      <c r="B6" s="125" t="s">
        <v>761</v>
      </c>
      <c r="C6" s="121">
        <v>45.96</v>
      </c>
      <c r="D6" s="121">
        <v>50.01</v>
      </c>
      <c r="E6" s="121">
        <v>85.17</v>
      </c>
      <c r="F6" s="129" t="s">
        <v>762</v>
      </c>
      <c r="G6" s="128" t="s">
        <v>763</v>
      </c>
    </row>
    <row r="7" spans="1:7" ht="45" customHeight="1" x14ac:dyDescent="0.35">
      <c r="A7" s="110" t="s">
        <v>764</v>
      </c>
      <c r="B7" s="125" t="s">
        <v>765</v>
      </c>
      <c r="C7" s="121">
        <v>-1710.51</v>
      </c>
      <c r="D7" s="121">
        <v>-1510.46</v>
      </c>
      <c r="E7" s="121">
        <v>-1462.23</v>
      </c>
      <c r="F7" s="129" t="s">
        <v>766</v>
      </c>
      <c r="G7" s="128" t="s">
        <v>767</v>
      </c>
    </row>
    <row r="8" spans="1:7" ht="45" customHeight="1" x14ac:dyDescent="0.35">
      <c r="A8" s="110" t="s">
        <v>768</v>
      </c>
      <c r="B8" s="125" t="s">
        <v>769</v>
      </c>
      <c r="C8" s="121">
        <v>-3337.03</v>
      </c>
      <c r="D8" s="121">
        <v>-2742</v>
      </c>
      <c r="E8" s="121">
        <v>-2762.28</v>
      </c>
      <c r="F8" s="129" t="s">
        <v>770</v>
      </c>
      <c r="G8" s="128" t="s">
        <v>771</v>
      </c>
    </row>
    <row r="9" spans="1:7" ht="45" customHeight="1" x14ac:dyDescent="0.35">
      <c r="A9" s="116" t="s">
        <v>772</v>
      </c>
      <c r="B9" s="130" t="s">
        <v>773</v>
      </c>
      <c r="C9" s="131">
        <v>23298.42</v>
      </c>
      <c r="D9" s="131">
        <v>23977.24</v>
      </c>
      <c r="E9" s="131">
        <v>24837.919999999998</v>
      </c>
      <c r="F9" s="132" t="s">
        <v>774</v>
      </c>
      <c r="G9" s="133" t="s">
        <v>775</v>
      </c>
    </row>
    <row r="10" spans="1:7" ht="45" customHeight="1" x14ac:dyDescent="0.35">
      <c r="A10" s="110" t="s">
        <v>776</v>
      </c>
      <c r="B10" s="125" t="s">
        <v>777</v>
      </c>
      <c r="C10" s="121">
        <v>-6119.56</v>
      </c>
      <c r="D10" s="121">
        <v>-6350.2</v>
      </c>
      <c r="E10" s="121">
        <v>-6373.61</v>
      </c>
      <c r="F10" s="129" t="s">
        <v>778</v>
      </c>
      <c r="G10" s="128" t="s">
        <v>779</v>
      </c>
    </row>
    <row r="11" spans="1:7" ht="45" customHeight="1" x14ac:dyDescent="0.35">
      <c r="A11" s="116" t="s">
        <v>780</v>
      </c>
      <c r="B11" s="130" t="s">
        <v>781</v>
      </c>
      <c r="C11" s="131">
        <v>17178.86</v>
      </c>
      <c r="D11" s="131">
        <v>17627.04</v>
      </c>
      <c r="E11" s="131">
        <v>18464.310000000001</v>
      </c>
      <c r="F11" s="132" t="s">
        <v>782</v>
      </c>
      <c r="G11" s="133" t="s">
        <v>783</v>
      </c>
    </row>
    <row r="12" spans="1:7" ht="18" customHeight="1" thickBot="1" x14ac:dyDescent="0.4">
      <c r="A12" s="154" t="s">
        <v>784</v>
      </c>
      <c r="B12" s="154"/>
      <c r="C12" s="154"/>
      <c r="D12" s="154"/>
      <c r="E12" s="154"/>
      <c r="F12" s="154"/>
      <c r="G12" s="154"/>
    </row>
    <row r="13" spans="1:7" ht="45" customHeight="1" x14ac:dyDescent="0.35">
      <c r="A13" s="110" t="s">
        <v>251</v>
      </c>
      <c r="B13" s="125" t="s">
        <v>785</v>
      </c>
      <c r="C13" s="121">
        <v>-3562.53</v>
      </c>
      <c r="D13" s="121">
        <v>-2278.6999999999998</v>
      </c>
      <c r="E13" s="121">
        <v>-2182.89</v>
      </c>
      <c r="F13" s="129" t="s">
        <v>786</v>
      </c>
      <c r="G13" s="128" t="s">
        <v>787</v>
      </c>
    </row>
    <row r="14" spans="1:7" ht="45" customHeight="1" x14ac:dyDescent="0.35">
      <c r="A14" s="110" t="s">
        <v>788</v>
      </c>
      <c r="B14" s="125" t="s">
        <v>789</v>
      </c>
      <c r="C14" s="121">
        <v>-1035.71</v>
      </c>
      <c r="D14" s="121">
        <v>-82.67</v>
      </c>
      <c r="E14" s="121">
        <v>-2415.17</v>
      </c>
      <c r="F14" s="129" t="s">
        <v>790</v>
      </c>
      <c r="G14" s="128" t="s">
        <v>791</v>
      </c>
    </row>
    <row r="15" spans="1:7" ht="45" customHeight="1" x14ac:dyDescent="0.35">
      <c r="A15" s="110" t="s">
        <v>792</v>
      </c>
      <c r="B15" s="125" t="s">
        <v>793</v>
      </c>
      <c r="C15" s="121">
        <v>1150</v>
      </c>
      <c r="D15" s="121">
        <v>1109.95</v>
      </c>
      <c r="E15" s="121">
        <v>947.46</v>
      </c>
      <c r="F15" s="129" t="s">
        <v>794</v>
      </c>
      <c r="G15" s="128" t="s">
        <v>795</v>
      </c>
    </row>
    <row r="16" spans="1:7" ht="45" customHeight="1" x14ac:dyDescent="0.35">
      <c r="A16" s="134" t="s">
        <v>796</v>
      </c>
      <c r="B16" s="135" t="s">
        <v>797</v>
      </c>
      <c r="C16" s="136">
        <v>1562.77</v>
      </c>
      <c r="D16" s="136">
        <v>-395.82</v>
      </c>
      <c r="E16" s="136">
        <v>-2320.7399999999998</v>
      </c>
      <c r="F16" s="137" t="s">
        <v>798</v>
      </c>
      <c r="G16" s="138" t="s">
        <v>799</v>
      </c>
    </row>
    <row r="17" spans="1:7" ht="18" customHeight="1" thickBot="1" x14ac:dyDescent="0.4">
      <c r="A17" s="154" t="s">
        <v>800</v>
      </c>
      <c r="B17" s="154"/>
      <c r="C17" s="154"/>
      <c r="D17" s="154"/>
      <c r="E17" s="154"/>
      <c r="F17" s="154"/>
      <c r="G17" s="154"/>
    </row>
    <row r="18" spans="1:7" ht="45" customHeight="1" x14ac:dyDescent="0.35">
      <c r="A18" s="110" t="s">
        <v>801</v>
      </c>
      <c r="B18" s="125" t="s">
        <v>802</v>
      </c>
      <c r="C18" s="121">
        <v>1442.83</v>
      </c>
      <c r="D18" s="121">
        <v>797.33</v>
      </c>
      <c r="E18" s="121">
        <v>404.85</v>
      </c>
      <c r="F18" s="129" t="s">
        <v>803</v>
      </c>
      <c r="G18" s="128" t="s">
        <v>804</v>
      </c>
    </row>
    <row r="19" spans="1:7" ht="45" customHeight="1" x14ac:dyDescent="0.35">
      <c r="A19" s="110" t="s">
        <v>805</v>
      </c>
      <c r="B19" s="125" t="s">
        <v>806</v>
      </c>
      <c r="C19" s="121">
        <v>6.43</v>
      </c>
      <c r="D19" s="121">
        <v>35.479999999999997</v>
      </c>
      <c r="E19" s="121">
        <v>2015.99</v>
      </c>
      <c r="F19" s="129" t="s">
        <v>790</v>
      </c>
      <c r="G19" s="128" t="s">
        <v>807</v>
      </c>
    </row>
    <row r="20" spans="1:7" ht="45" customHeight="1" x14ac:dyDescent="0.35">
      <c r="A20" s="110" t="s">
        <v>808</v>
      </c>
      <c r="B20" s="125" t="s">
        <v>809</v>
      </c>
      <c r="C20" s="121">
        <v>-19899.2</v>
      </c>
      <c r="D20" s="121">
        <v>-17782.22</v>
      </c>
      <c r="E20" s="121">
        <v>-18271.439999999999</v>
      </c>
      <c r="F20" s="129" t="s">
        <v>810</v>
      </c>
      <c r="G20" s="128" t="s">
        <v>811</v>
      </c>
    </row>
    <row r="21" spans="1:7" ht="45" customHeight="1" x14ac:dyDescent="0.35">
      <c r="A21" s="139" t="s">
        <v>812</v>
      </c>
      <c r="B21" s="140" t="s">
        <v>813</v>
      </c>
      <c r="C21" s="141">
        <v>-18550.96</v>
      </c>
      <c r="D21" s="141">
        <v>-17037.400000000001</v>
      </c>
      <c r="E21" s="141">
        <v>-16147.12</v>
      </c>
      <c r="F21" s="142" t="s">
        <v>814</v>
      </c>
      <c r="G21" s="143" t="s">
        <v>815</v>
      </c>
    </row>
    <row r="22" spans="1:7" ht="18" customHeight="1" thickBot="1" x14ac:dyDescent="0.4">
      <c r="A22" s="154" t="s">
        <v>816</v>
      </c>
      <c r="B22" s="154"/>
      <c r="C22" s="154"/>
      <c r="D22" s="154"/>
      <c r="E22" s="154"/>
      <c r="F22" s="154"/>
      <c r="G22" s="154"/>
    </row>
    <row r="23" spans="1:7" ht="45" customHeight="1" x14ac:dyDescent="0.35">
      <c r="A23" s="110" t="s">
        <v>817</v>
      </c>
      <c r="B23" s="125" t="s">
        <v>818</v>
      </c>
      <c r="C23" s="144">
        <v>0.85082527604128999</v>
      </c>
      <c r="D23" s="144">
        <v>0.87974777992330999</v>
      </c>
      <c r="E23" s="144">
        <v>0.87849358768493002</v>
      </c>
      <c r="F23" s="129" t="s">
        <v>819</v>
      </c>
      <c r="G23" s="128" t="s">
        <v>820</v>
      </c>
    </row>
    <row r="24" spans="1:7" ht="45" customHeight="1" x14ac:dyDescent="0.35">
      <c r="A24" s="110" t="s">
        <v>821</v>
      </c>
      <c r="B24" s="125" t="s">
        <v>822</v>
      </c>
      <c r="C24" s="144">
        <v>0.61446470063067304</v>
      </c>
      <c r="D24" s="144">
        <v>0.61593552661372197</v>
      </c>
      <c r="E24" s="144">
        <v>0.61300882214576702</v>
      </c>
      <c r="F24" s="129" t="s">
        <v>823</v>
      </c>
      <c r="G24" s="128" t="s">
        <v>824</v>
      </c>
    </row>
    <row r="25" spans="1:7" ht="45" customHeight="1" x14ac:dyDescent="0.35">
      <c r="A25" s="116" t="s">
        <v>825</v>
      </c>
      <c r="B25" s="130" t="s">
        <v>826</v>
      </c>
      <c r="C25" s="131">
        <v>13616.33</v>
      </c>
      <c r="D25" s="131">
        <v>15348.34</v>
      </c>
      <c r="E25" s="131">
        <v>16281.42</v>
      </c>
      <c r="F25" s="132" t="s">
        <v>827</v>
      </c>
      <c r="G25" s="133" t="s">
        <v>828</v>
      </c>
    </row>
    <row r="26" spans="1:7" ht="45" customHeight="1" x14ac:dyDescent="0.35">
      <c r="A26" s="110" t="s">
        <v>829</v>
      </c>
      <c r="B26" s="125" t="s">
        <v>830</v>
      </c>
      <c r="C26" s="144">
        <v>0.18427482050354199</v>
      </c>
      <c r="D26" s="144">
        <v>0.18806294798437201</v>
      </c>
      <c r="E26" s="144">
        <v>0.18107904578775999</v>
      </c>
      <c r="F26" s="129" t="s">
        <v>831</v>
      </c>
      <c r="G26" s="128" t="s">
        <v>832</v>
      </c>
    </row>
    <row r="27" spans="1:7" ht="45" customHeight="1" x14ac:dyDescent="0.35">
      <c r="A27" s="110" t="s">
        <v>833</v>
      </c>
      <c r="B27" s="125" t="s">
        <v>834</v>
      </c>
      <c r="C27" s="144">
        <v>4.8213033635971098E-2</v>
      </c>
      <c r="D27" s="144">
        <v>2.7920872196731901E-2</v>
      </c>
      <c r="E27" s="144">
        <v>2.4277712770731499E-2</v>
      </c>
      <c r="F27" s="129" t="s">
        <v>835</v>
      </c>
      <c r="G27" s="128" t="s">
        <v>836</v>
      </c>
    </row>
    <row r="28" spans="1:7" ht="45" customHeight="1" x14ac:dyDescent="0.35">
      <c r="A28" s="110" t="s">
        <v>837</v>
      </c>
      <c r="B28" s="125" t="s">
        <v>838</v>
      </c>
      <c r="C28" s="145">
        <v>0.86329400176891502</v>
      </c>
      <c r="D28" s="145">
        <v>0.99127330558276805</v>
      </c>
      <c r="E28" s="145">
        <v>1.01055581826063</v>
      </c>
      <c r="F28" s="129" t="s">
        <v>839</v>
      </c>
      <c r="G28" s="128" t="s">
        <v>840</v>
      </c>
    </row>
    <row r="29" spans="1:7" ht="45" customHeight="1" x14ac:dyDescent="0.35">
      <c r="A29" s="110" t="s">
        <v>841</v>
      </c>
      <c r="B29" s="125" t="s">
        <v>842</v>
      </c>
      <c r="C29" s="121">
        <v>190.67</v>
      </c>
      <c r="D29" s="121">
        <v>225.54</v>
      </c>
      <c r="E29" s="121">
        <v>-3.55</v>
      </c>
      <c r="F29" s="129" t="s">
        <v>843</v>
      </c>
      <c r="G29" s="128" t="s">
        <v>844</v>
      </c>
    </row>
    <row r="31" spans="1:7" ht="60" customHeight="1" x14ac:dyDescent="0.35">
      <c r="A31" s="158" t="s">
        <v>845</v>
      </c>
      <c r="B31" s="158"/>
      <c r="C31" s="158"/>
      <c r="D31" s="158"/>
      <c r="E31" s="158"/>
      <c r="F31" s="158"/>
      <c r="G31" s="158"/>
    </row>
  </sheetData>
  <mergeCells count="6">
    <mergeCell ref="A31:G31"/>
    <mergeCell ref="A1:G1"/>
    <mergeCell ref="A3:G3"/>
    <mergeCell ref="A12:G12"/>
    <mergeCell ref="A17:G17"/>
    <mergeCell ref="A22:G2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2D26-4BC0-4F50-9792-54D2ABA9B132}">
  <sheetPr>
    <tabColor rgb="FF2E6DA4"/>
  </sheetPr>
  <dimension ref="A1:G35"/>
  <sheetViews>
    <sheetView zoomScaleNormal="100" workbookViewId="0">
      <pane xSplit="1" ySplit="2" topLeftCell="B26" activePane="bottomRight" state="frozen"/>
      <selection activeCell="B10" activeCellId="1" sqref="A1:F1 B10:B11"/>
      <selection pane="topRight" activeCell="B10" activeCellId="1" sqref="A1:F1 B10:B11"/>
      <selection pane="bottomLeft" activeCell="B10" activeCellId="1" sqref="A1:F1 B10:B11"/>
      <selection pane="bottomRight" activeCell="B10" activeCellId="1" sqref="A1:G1 B10:B11"/>
    </sheetView>
  </sheetViews>
  <sheetFormatPr defaultColWidth="8.6328125" defaultRowHeight="14.5" x14ac:dyDescent="0.35"/>
  <cols>
    <col min="1" max="1" width="36" customWidth="1"/>
    <col min="2" max="2" width="48" customWidth="1"/>
    <col min="3" max="5" width="14" customWidth="1"/>
    <col min="6" max="6" width="10" customWidth="1"/>
    <col min="7" max="7" width="60" customWidth="1"/>
  </cols>
  <sheetData>
    <row r="1" spans="1:7" ht="30" customHeight="1" x14ac:dyDescent="0.35">
      <c r="A1" s="156" t="s">
        <v>846</v>
      </c>
      <c r="B1" s="156"/>
      <c r="C1" s="156"/>
      <c r="D1" s="156"/>
      <c r="E1" s="156"/>
      <c r="F1" s="156"/>
      <c r="G1" s="156"/>
    </row>
    <row r="2" spans="1:7" ht="21.75" customHeight="1" x14ac:dyDescent="0.35">
      <c r="A2" s="109" t="s">
        <v>847</v>
      </c>
      <c r="B2" s="109" t="s">
        <v>686</v>
      </c>
      <c r="C2" s="109" t="s">
        <v>687</v>
      </c>
      <c r="D2" s="109" t="s">
        <v>688</v>
      </c>
      <c r="E2" s="109" t="s">
        <v>689</v>
      </c>
      <c r="F2" s="109" t="s">
        <v>596</v>
      </c>
      <c r="G2" s="109" t="s">
        <v>750</v>
      </c>
    </row>
    <row r="3" spans="1:7" ht="18" customHeight="1" thickBot="1" x14ac:dyDescent="0.4">
      <c r="A3" s="154" t="s">
        <v>848</v>
      </c>
      <c r="B3" s="154"/>
      <c r="C3" s="154"/>
      <c r="D3" s="154"/>
      <c r="E3" s="154"/>
      <c r="F3" s="154"/>
      <c r="G3" s="154"/>
    </row>
    <row r="4" spans="1:7" ht="42" customHeight="1" x14ac:dyDescent="0.35">
      <c r="A4" s="110" t="s">
        <v>849</v>
      </c>
      <c r="B4" s="125" t="s">
        <v>850</v>
      </c>
      <c r="C4" s="145">
        <v>2.9995865716122299</v>
      </c>
      <c r="D4" s="145">
        <v>3.0621559343412299</v>
      </c>
      <c r="E4" s="145">
        <v>3.0387480995992799</v>
      </c>
      <c r="F4" s="146" t="s">
        <v>851</v>
      </c>
      <c r="G4" s="128" t="s">
        <v>852</v>
      </c>
    </row>
    <row r="5" spans="1:7" ht="42" customHeight="1" x14ac:dyDescent="0.35">
      <c r="A5" s="110" t="s">
        <v>853</v>
      </c>
      <c r="B5" s="125" t="s">
        <v>854</v>
      </c>
      <c r="C5" s="145">
        <v>1.95484865307077</v>
      </c>
      <c r="D5" s="145">
        <v>1.9573688216429199</v>
      </c>
      <c r="E5" s="145">
        <v>1.9077871934714301</v>
      </c>
      <c r="F5" s="146" t="s">
        <v>855</v>
      </c>
      <c r="G5" s="128" t="s">
        <v>856</v>
      </c>
    </row>
    <row r="6" spans="1:7" ht="42" customHeight="1" x14ac:dyDescent="0.35">
      <c r="A6" s="110" t="s">
        <v>857</v>
      </c>
      <c r="B6" s="125" t="s">
        <v>858</v>
      </c>
      <c r="C6" s="145">
        <v>1.47271810903991</v>
      </c>
      <c r="D6" s="145">
        <v>1.41619256444942</v>
      </c>
      <c r="E6" s="145">
        <v>1.42380569140429</v>
      </c>
      <c r="F6" s="146" t="s">
        <v>859</v>
      </c>
      <c r="G6" s="128" t="s">
        <v>860</v>
      </c>
    </row>
    <row r="7" spans="1:7" ht="42" customHeight="1" x14ac:dyDescent="0.35">
      <c r="A7" s="110" t="s">
        <v>697</v>
      </c>
      <c r="B7" s="125" t="s">
        <v>861</v>
      </c>
      <c r="C7" s="122">
        <v>27375.14</v>
      </c>
      <c r="D7" s="122">
        <v>29559.17</v>
      </c>
      <c r="E7" s="122">
        <v>34021.14</v>
      </c>
      <c r="F7" s="146" t="s">
        <v>859</v>
      </c>
      <c r="G7" s="128" t="s">
        <v>862</v>
      </c>
    </row>
    <row r="8" spans="1:7" ht="42" customHeight="1" x14ac:dyDescent="0.35">
      <c r="A8" s="110" t="s">
        <v>863</v>
      </c>
      <c r="B8" s="125" t="s">
        <v>864</v>
      </c>
      <c r="C8" s="145">
        <v>2.6992165154223899</v>
      </c>
      <c r="D8" s="145">
        <v>2.7609970104031998</v>
      </c>
      <c r="E8" s="145">
        <v>2.6428664647921898</v>
      </c>
      <c r="F8" s="146" t="s">
        <v>855</v>
      </c>
      <c r="G8" s="128" t="s">
        <v>865</v>
      </c>
    </row>
    <row r="9" spans="1:7" ht="18" customHeight="1" thickBot="1" x14ac:dyDescent="0.4">
      <c r="A9" s="154" t="s">
        <v>866</v>
      </c>
      <c r="B9" s="154"/>
      <c r="C9" s="154"/>
      <c r="D9" s="154"/>
      <c r="E9" s="154"/>
      <c r="F9" s="154"/>
      <c r="G9" s="154"/>
    </row>
    <row r="10" spans="1:7" ht="42" customHeight="1" x14ac:dyDescent="0.35">
      <c r="A10" s="110" t="s">
        <v>867</v>
      </c>
      <c r="B10" s="125" t="s">
        <v>868</v>
      </c>
      <c r="C10" s="144">
        <v>0.54425256081794604</v>
      </c>
      <c r="D10" s="144">
        <v>0.51331813473331001</v>
      </c>
      <c r="E10" s="144">
        <v>0.45843703041584599</v>
      </c>
      <c r="F10" s="146" t="s">
        <v>855</v>
      </c>
      <c r="G10" s="128" t="s">
        <v>869</v>
      </c>
    </row>
    <row r="11" spans="1:7" ht="42" customHeight="1" x14ac:dyDescent="0.35">
      <c r="A11" s="110" t="s">
        <v>139</v>
      </c>
      <c r="B11" s="125" t="s">
        <v>870</v>
      </c>
      <c r="C11" s="144">
        <v>0.37835835630735498</v>
      </c>
      <c r="D11" s="144">
        <v>0.35065978637169298</v>
      </c>
      <c r="E11" s="144">
        <v>0.334998047564249</v>
      </c>
      <c r="F11" s="146" t="s">
        <v>855</v>
      </c>
      <c r="G11" s="128" t="s">
        <v>871</v>
      </c>
    </row>
    <row r="12" spans="1:7" ht="42" customHeight="1" x14ac:dyDescent="0.35">
      <c r="A12" s="110" t="s">
        <v>872</v>
      </c>
      <c r="B12" s="125" t="s">
        <v>873</v>
      </c>
      <c r="C12" s="144">
        <v>0.35728473518512199</v>
      </c>
      <c r="D12" s="144">
        <v>0.32993533610789899</v>
      </c>
      <c r="E12" s="144">
        <v>0.315026592831119</v>
      </c>
      <c r="F12" s="146" t="s">
        <v>855</v>
      </c>
      <c r="G12" s="128" t="s">
        <v>874</v>
      </c>
    </row>
    <row r="13" spans="1:7" ht="42" customHeight="1" x14ac:dyDescent="0.35">
      <c r="A13" s="110" t="s">
        <v>875</v>
      </c>
      <c r="B13" s="125" t="s">
        <v>876</v>
      </c>
      <c r="C13" s="144">
        <v>0.27324982071669202</v>
      </c>
      <c r="D13" s="144">
        <v>0.24550652483593899</v>
      </c>
      <c r="E13" s="144">
        <v>0.23376011098687999</v>
      </c>
      <c r="F13" s="146" t="s">
        <v>851</v>
      </c>
      <c r="G13" s="128" t="s">
        <v>877</v>
      </c>
    </row>
    <row r="14" spans="1:7" ht="42" customHeight="1" x14ac:dyDescent="0.35">
      <c r="A14" s="110" t="s">
        <v>878</v>
      </c>
      <c r="B14" s="125" t="s">
        <v>879</v>
      </c>
      <c r="C14" s="144">
        <v>0.26682450315377199</v>
      </c>
      <c r="D14" s="144">
        <v>0.27581744413557902</v>
      </c>
      <c r="E14" s="144">
        <v>0.29340419021412301</v>
      </c>
      <c r="F14" s="146" t="s">
        <v>851</v>
      </c>
      <c r="G14" s="128" t="s">
        <v>880</v>
      </c>
    </row>
    <row r="15" spans="1:7" ht="42" customHeight="1" x14ac:dyDescent="0.35">
      <c r="A15" s="110" t="s">
        <v>881</v>
      </c>
      <c r="B15" s="125" t="s">
        <v>882</v>
      </c>
      <c r="C15" s="144">
        <v>0.224446138560459</v>
      </c>
      <c r="D15" s="144">
        <v>0.22273034586423399</v>
      </c>
      <c r="E15" s="144">
        <v>0.23111718045649801</v>
      </c>
      <c r="F15" s="146" t="s">
        <v>851</v>
      </c>
      <c r="G15" s="128" t="s">
        <v>883</v>
      </c>
    </row>
    <row r="16" spans="1:7" ht="42" customHeight="1" x14ac:dyDescent="0.35">
      <c r="A16" s="110" t="s">
        <v>884</v>
      </c>
      <c r="B16" s="125" t="s">
        <v>885</v>
      </c>
      <c r="C16" s="144">
        <v>0.34813331259057001</v>
      </c>
      <c r="D16" s="144">
        <v>0.35514630659757501</v>
      </c>
      <c r="E16" s="144">
        <v>0.37663984651370702</v>
      </c>
      <c r="F16" s="146" t="s">
        <v>859</v>
      </c>
      <c r="G16" s="128" t="s">
        <v>886</v>
      </c>
    </row>
    <row r="17" spans="1:7" ht="42" customHeight="1" x14ac:dyDescent="0.35">
      <c r="A17" s="110" t="s">
        <v>887</v>
      </c>
      <c r="B17" s="125" t="s">
        <v>888</v>
      </c>
      <c r="C17" s="144">
        <v>0.29922307692623001</v>
      </c>
      <c r="D17" s="144">
        <v>0.29462262026159303</v>
      </c>
      <c r="E17" s="144">
        <v>0.305645184650781</v>
      </c>
      <c r="F17" s="146" t="s">
        <v>851</v>
      </c>
      <c r="G17" s="128" t="s">
        <v>889</v>
      </c>
    </row>
    <row r="18" spans="1:7" ht="18" customHeight="1" thickBot="1" x14ac:dyDescent="0.4">
      <c r="A18" s="154" t="s">
        <v>890</v>
      </c>
      <c r="B18" s="154"/>
      <c r="C18" s="154"/>
      <c r="D18" s="154"/>
      <c r="E18" s="154"/>
      <c r="F18" s="154"/>
      <c r="G18" s="154"/>
    </row>
    <row r="19" spans="1:7" ht="42" customHeight="1" x14ac:dyDescent="0.35">
      <c r="A19" s="110" t="s">
        <v>891</v>
      </c>
      <c r="B19" s="125" t="s">
        <v>892</v>
      </c>
      <c r="C19" s="145">
        <v>0.82139537355146997</v>
      </c>
      <c r="D19" s="145">
        <v>0.90722780591299901</v>
      </c>
      <c r="E19" s="145">
        <v>0.98869383437907898</v>
      </c>
      <c r="F19" s="146" t="s">
        <v>859</v>
      </c>
      <c r="G19" s="128" t="s">
        <v>893</v>
      </c>
    </row>
    <row r="20" spans="1:7" ht="42" customHeight="1" x14ac:dyDescent="0.35">
      <c r="A20" s="110" t="s">
        <v>894</v>
      </c>
      <c r="B20" s="125" t="s">
        <v>895</v>
      </c>
      <c r="C20" s="145">
        <v>3.6479488892213099</v>
      </c>
      <c r="D20" s="145">
        <v>4.0291445184815498</v>
      </c>
      <c r="E20" s="145">
        <v>5.1526130734906399</v>
      </c>
      <c r="F20" s="146" t="s">
        <v>859</v>
      </c>
      <c r="G20" s="128" t="s">
        <v>896</v>
      </c>
    </row>
    <row r="21" spans="1:7" ht="42" customHeight="1" x14ac:dyDescent="0.35">
      <c r="A21" s="110" t="s">
        <v>897</v>
      </c>
      <c r="B21" s="125" t="s">
        <v>898</v>
      </c>
      <c r="C21" s="145">
        <v>1.8113730445069001</v>
      </c>
      <c r="D21" s="145">
        <v>2.1469115595472901</v>
      </c>
      <c r="E21" s="145">
        <v>1.9000225332248299</v>
      </c>
      <c r="F21" s="146" t="s">
        <v>855</v>
      </c>
      <c r="G21" s="128" t="s">
        <v>899</v>
      </c>
    </row>
    <row r="22" spans="1:7" ht="42" customHeight="1" x14ac:dyDescent="0.35">
      <c r="A22" s="110" t="s">
        <v>302</v>
      </c>
      <c r="B22" s="125" t="s">
        <v>900</v>
      </c>
      <c r="C22" s="147">
        <v>201.5045995671</v>
      </c>
      <c r="D22" s="147">
        <v>170.01166087948499</v>
      </c>
      <c r="E22" s="147">
        <v>192.102984894869</v>
      </c>
      <c r="F22" s="146" t="s">
        <v>859</v>
      </c>
      <c r="G22" s="128" t="s">
        <v>901</v>
      </c>
    </row>
    <row r="23" spans="1:7" ht="42" customHeight="1" x14ac:dyDescent="0.35">
      <c r="A23" s="110" t="s">
        <v>902</v>
      </c>
      <c r="B23" s="125" t="s">
        <v>903</v>
      </c>
      <c r="C23" s="145">
        <v>16.8981795188148</v>
      </c>
      <c r="D23" s="145">
        <v>18.6639696575035</v>
      </c>
      <c r="E23" s="145">
        <v>20.807177990704101</v>
      </c>
      <c r="F23" s="146" t="s">
        <v>859</v>
      </c>
      <c r="G23" s="128" t="s">
        <v>904</v>
      </c>
    </row>
    <row r="24" spans="1:7" ht="42" customHeight="1" x14ac:dyDescent="0.35">
      <c r="A24" s="110" t="s">
        <v>905</v>
      </c>
      <c r="B24" s="125" t="s">
        <v>906</v>
      </c>
      <c r="C24" s="147">
        <v>21.599959900627201</v>
      </c>
      <c r="D24" s="147">
        <v>19.556396988314798</v>
      </c>
      <c r="E24" s="147">
        <v>17.542023246163801</v>
      </c>
      <c r="F24" s="146" t="s">
        <v>855</v>
      </c>
      <c r="G24" s="128" t="s">
        <v>907</v>
      </c>
    </row>
    <row r="25" spans="1:7" ht="42" customHeight="1" x14ac:dyDescent="0.35">
      <c r="A25" s="110" t="s">
        <v>908</v>
      </c>
      <c r="B25" s="125" t="s">
        <v>909</v>
      </c>
      <c r="C25" s="145">
        <v>5.6945757111043802</v>
      </c>
      <c r="D25" s="145">
        <v>6.8097714450507203</v>
      </c>
      <c r="E25" s="145">
        <v>6.7194111143550499</v>
      </c>
      <c r="F25" s="146" t="s">
        <v>851</v>
      </c>
      <c r="G25" s="128" t="s">
        <v>910</v>
      </c>
    </row>
    <row r="26" spans="1:7" ht="42" customHeight="1" x14ac:dyDescent="0.35">
      <c r="A26" s="110" t="s">
        <v>911</v>
      </c>
      <c r="B26" s="125" t="s">
        <v>912</v>
      </c>
      <c r="C26" s="147">
        <v>64.096083451529694</v>
      </c>
      <c r="D26" s="147">
        <v>53.599449400798697</v>
      </c>
      <c r="E26" s="147">
        <v>54.320236370153097</v>
      </c>
      <c r="F26" s="146" t="s">
        <v>851</v>
      </c>
      <c r="G26" s="128" t="s">
        <v>913</v>
      </c>
    </row>
    <row r="27" spans="1:7" ht="42" customHeight="1" x14ac:dyDescent="0.35">
      <c r="A27" s="110" t="s">
        <v>914</v>
      </c>
      <c r="B27" s="125" t="s">
        <v>915</v>
      </c>
      <c r="C27" s="147">
        <v>31.8</v>
      </c>
      <c r="D27" s="147">
        <v>44.1</v>
      </c>
      <c r="E27" s="147">
        <v>59.4</v>
      </c>
      <c r="F27" s="146" t="s">
        <v>859</v>
      </c>
      <c r="G27" s="128" t="s">
        <v>916</v>
      </c>
    </row>
    <row r="28" spans="1:7" ht="18" customHeight="1" thickBot="1" x14ac:dyDescent="0.4">
      <c r="A28" s="154" t="s">
        <v>917</v>
      </c>
      <c r="B28" s="154"/>
      <c r="C28" s="154"/>
      <c r="D28" s="154"/>
      <c r="E28" s="154"/>
      <c r="F28" s="154"/>
      <c r="G28" s="154"/>
    </row>
    <row r="29" spans="1:7" ht="42" customHeight="1" x14ac:dyDescent="0.35">
      <c r="A29" s="110" t="s">
        <v>918</v>
      </c>
      <c r="B29" s="125" t="s">
        <v>919</v>
      </c>
      <c r="C29" s="145">
        <v>1.50620971005864E-4</v>
      </c>
      <c r="D29" s="145">
        <v>1.2963447509969799E-3</v>
      </c>
      <c r="E29" s="145">
        <v>3.0000403441493202E-2</v>
      </c>
      <c r="F29" s="146" t="s">
        <v>859</v>
      </c>
      <c r="G29" s="128" t="s">
        <v>920</v>
      </c>
    </row>
    <row r="30" spans="1:7" ht="42" customHeight="1" x14ac:dyDescent="0.35">
      <c r="A30" s="110" t="s">
        <v>921</v>
      </c>
      <c r="B30" s="125" t="s">
        <v>922</v>
      </c>
      <c r="C30" s="145">
        <v>-0.48498825357400399</v>
      </c>
      <c r="D30" s="145">
        <v>-0.58760402427535896</v>
      </c>
      <c r="E30" s="145">
        <v>-0.63769509365458199</v>
      </c>
      <c r="F30" s="146" t="s">
        <v>851</v>
      </c>
      <c r="G30" s="128" t="s">
        <v>923</v>
      </c>
    </row>
    <row r="31" spans="1:7" ht="42" customHeight="1" x14ac:dyDescent="0.35">
      <c r="A31" s="110" t="s">
        <v>924</v>
      </c>
      <c r="B31" s="125" t="s">
        <v>925</v>
      </c>
      <c r="C31" s="145">
        <v>676.026335975454</v>
      </c>
      <c r="D31" s="145">
        <v>598.579671549046</v>
      </c>
      <c r="E31" s="145">
        <v>333.57121052013599</v>
      </c>
      <c r="F31" s="146" t="s">
        <v>855</v>
      </c>
      <c r="G31" s="128" t="s">
        <v>926</v>
      </c>
    </row>
    <row r="32" spans="1:7" ht="42" customHeight="1" x14ac:dyDescent="0.35">
      <c r="A32" s="110" t="s">
        <v>927</v>
      </c>
      <c r="B32" s="125" t="s">
        <v>928</v>
      </c>
      <c r="C32" s="145">
        <v>249.42820754716999</v>
      </c>
      <c r="D32" s="145">
        <v>240.606601248885</v>
      </c>
      <c r="E32" s="145">
        <v>149.64582565182999</v>
      </c>
      <c r="F32" s="146" t="s">
        <v>855</v>
      </c>
      <c r="G32" s="128" t="s">
        <v>929</v>
      </c>
    </row>
    <row r="33" spans="1:7" ht="42" customHeight="1" x14ac:dyDescent="0.35">
      <c r="A33" s="110" t="s">
        <v>930</v>
      </c>
      <c r="B33" s="125" t="s">
        <v>931</v>
      </c>
      <c r="C33" s="145">
        <v>1.2261476403315399</v>
      </c>
      <c r="D33" s="145">
        <v>1.25132468364841</v>
      </c>
      <c r="E33" s="145">
        <v>1.2870659127342301</v>
      </c>
      <c r="F33" s="146" t="s">
        <v>851</v>
      </c>
      <c r="G33" s="128" t="s">
        <v>932</v>
      </c>
    </row>
    <row r="34" spans="1:7" ht="42" customHeight="1" x14ac:dyDescent="0.35">
      <c r="A34" s="110" t="s">
        <v>933</v>
      </c>
      <c r="B34" s="125" t="s">
        <v>934</v>
      </c>
      <c r="C34" s="144">
        <v>0.18443752847772399</v>
      </c>
      <c r="D34" s="144">
        <v>0.20084690003528199</v>
      </c>
      <c r="E34" s="144">
        <v>0.22303901447004501</v>
      </c>
      <c r="F34" s="146" t="s">
        <v>859</v>
      </c>
      <c r="G34" s="128" t="s">
        <v>935</v>
      </c>
    </row>
    <row r="35" spans="1:7" ht="42" customHeight="1" x14ac:dyDescent="0.35">
      <c r="A35" s="110" t="s">
        <v>186</v>
      </c>
      <c r="B35" s="125" t="s">
        <v>936</v>
      </c>
      <c r="C35" s="144">
        <v>0.97264841794085499</v>
      </c>
      <c r="D35" s="144">
        <v>0.51176819162030995</v>
      </c>
      <c r="E35" s="144">
        <v>0.88312750399116102</v>
      </c>
      <c r="F35" s="146" t="s">
        <v>859</v>
      </c>
      <c r="G35" s="128" t="s">
        <v>937</v>
      </c>
    </row>
  </sheetData>
  <mergeCells count="5">
    <mergeCell ref="A1:G1"/>
    <mergeCell ref="A3:G3"/>
    <mergeCell ref="A9:G9"/>
    <mergeCell ref="A18:G18"/>
    <mergeCell ref="A28:G2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08092-7566-415C-8EBF-7429B010375F}">
  <sheetPr>
    <tabColor rgb="FF1A3C6E"/>
  </sheetPr>
  <dimension ref="A1:E96"/>
  <sheetViews>
    <sheetView tabSelected="1" zoomScaleNormal="100" workbookViewId="0">
      <pane xSplit="1" ySplit="2" topLeftCell="B48" activePane="bottomRight" state="frozen"/>
      <selection activeCell="B10" activeCellId="1" sqref="A1:F1 B10:B11"/>
      <selection pane="topRight" activeCell="B10" activeCellId="1" sqref="A1:F1 B10:B11"/>
      <selection pane="bottomLeft" activeCell="B10" activeCellId="1" sqref="A1:F1 B10:B11"/>
      <selection pane="bottomRight" activeCell="H80" sqref="H80"/>
    </sheetView>
  </sheetViews>
  <sheetFormatPr defaultColWidth="8.6328125" defaultRowHeight="14.5" x14ac:dyDescent="0.35"/>
  <cols>
    <col min="1" max="1" width="50" customWidth="1"/>
    <col min="2" max="4" width="18" customWidth="1"/>
  </cols>
  <sheetData>
    <row r="1" spans="1:5" ht="30" customHeight="1" x14ac:dyDescent="0.35">
      <c r="A1" s="156" t="s">
        <v>938</v>
      </c>
      <c r="B1" s="156"/>
      <c r="C1" s="156"/>
      <c r="D1" s="156"/>
      <c r="E1" s="156"/>
    </row>
    <row r="2" spans="1:5" ht="19.5" customHeight="1" x14ac:dyDescent="0.35">
      <c r="A2" s="109" t="s">
        <v>939</v>
      </c>
      <c r="B2" s="148" t="s">
        <v>687</v>
      </c>
      <c r="C2" s="148" t="s">
        <v>688</v>
      </c>
      <c r="D2" s="148" t="s">
        <v>689</v>
      </c>
    </row>
    <row r="3" spans="1:5" ht="18" customHeight="1" thickBot="1" x14ac:dyDescent="0.4">
      <c r="A3" s="154" t="s">
        <v>940</v>
      </c>
      <c r="B3" s="154"/>
      <c r="C3" s="154"/>
      <c r="D3" s="154"/>
      <c r="E3" s="154"/>
    </row>
    <row r="4" spans="1:5" x14ac:dyDescent="0.35">
      <c r="A4" s="110" t="s">
        <v>941</v>
      </c>
      <c r="B4" s="121">
        <v>23082.33</v>
      </c>
      <c r="C4" s="121">
        <v>17428.89</v>
      </c>
      <c r="D4" s="121">
        <v>17471.2</v>
      </c>
    </row>
    <row r="5" spans="1:5" x14ac:dyDescent="0.35">
      <c r="A5" s="110" t="s">
        <v>498</v>
      </c>
      <c r="B5" s="121">
        <v>2851.14</v>
      </c>
      <c r="C5" s="121">
        <v>1087.5999999999999</v>
      </c>
      <c r="D5" s="121">
        <v>1499.41</v>
      </c>
    </row>
    <row r="6" spans="1:5" x14ac:dyDescent="0.35">
      <c r="A6" s="110" t="s">
        <v>499</v>
      </c>
      <c r="B6" s="121">
        <v>340.93</v>
      </c>
      <c r="C6" s="121">
        <v>322.39999999999998</v>
      </c>
      <c r="D6" s="121">
        <v>303.36</v>
      </c>
    </row>
    <row r="7" spans="1:5" x14ac:dyDescent="0.35">
      <c r="A7" s="110" t="s">
        <v>500</v>
      </c>
      <c r="B7" s="121">
        <v>779.73</v>
      </c>
      <c r="C7" s="121">
        <v>896.93</v>
      </c>
      <c r="D7" s="121">
        <v>993.29</v>
      </c>
    </row>
    <row r="8" spans="1:5" x14ac:dyDescent="0.35">
      <c r="A8" s="110" t="s">
        <v>501</v>
      </c>
      <c r="B8" s="121">
        <v>2678.11</v>
      </c>
      <c r="C8" s="121">
        <v>2724.74</v>
      </c>
      <c r="D8" s="121">
        <v>3173.66</v>
      </c>
    </row>
    <row r="9" spans="1:5" x14ac:dyDescent="0.35">
      <c r="A9" s="110" t="s">
        <v>942</v>
      </c>
      <c r="B9" s="121">
        <v>939.12</v>
      </c>
      <c r="C9" s="121">
        <v>581.89</v>
      </c>
      <c r="D9" s="121">
        <v>501.02</v>
      </c>
    </row>
    <row r="10" spans="1:5" x14ac:dyDescent="0.35">
      <c r="A10" s="110" t="s">
        <v>943</v>
      </c>
      <c r="B10" s="121">
        <v>549.73</v>
      </c>
      <c r="C10" s="121">
        <v>4711.78</v>
      </c>
      <c r="D10" s="121">
        <v>5288.24</v>
      </c>
    </row>
    <row r="11" spans="1:5" x14ac:dyDescent="0.35">
      <c r="A11" s="110" t="s">
        <v>944</v>
      </c>
      <c r="B11" s="121">
        <v>17619.87</v>
      </c>
      <c r="C11" s="121">
        <v>13720.54</v>
      </c>
      <c r="D11" s="121">
        <v>12089.55</v>
      </c>
    </row>
    <row r="12" spans="1:5" x14ac:dyDescent="0.35">
      <c r="A12" s="110" t="s">
        <v>945</v>
      </c>
      <c r="B12" s="121">
        <v>18032.91</v>
      </c>
      <c r="C12" s="121">
        <v>15285.71</v>
      </c>
      <c r="D12" s="121">
        <v>12437.64</v>
      </c>
    </row>
    <row r="13" spans="1:5" x14ac:dyDescent="0.35">
      <c r="A13" s="110" t="s">
        <v>506</v>
      </c>
      <c r="B13" s="121">
        <v>72.19</v>
      </c>
      <c r="C13" s="121">
        <v>87.98</v>
      </c>
      <c r="D13" s="121">
        <v>155.18</v>
      </c>
    </row>
    <row r="14" spans="1:5" x14ac:dyDescent="0.35">
      <c r="A14" s="110" t="s">
        <v>946</v>
      </c>
      <c r="B14" s="121">
        <v>1379.86</v>
      </c>
      <c r="C14" s="121">
        <v>1015.93</v>
      </c>
      <c r="D14" s="121">
        <v>1088.45</v>
      </c>
    </row>
    <row r="15" spans="1:5" x14ac:dyDescent="0.35">
      <c r="A15" s="149" t="s">
        <v>947</v>
      </c>
      <c r="B15" s="150">
        <v>50760.62</v>
      </c>
      <c r="C15" s="150">
        <v>44197.4</v>
      </c>
      <c r="D15" s="150">
        <v>43083.97</v>
      </c>
    </row>
    <row r="16" spans="1:5" x14ac:dyDescent="0.35">
      <c r="A16" s="110" t="s">
        <v>263</v>
      </c>
      <c r="B16" s="121">
        <v>14152.88</v>
      </c>
      <c r="C16" s="121">
        <v>15637.56</v>
      </c>
      <c r="D16" s="121">
        <v>18622.96</v>
      </c>
    </row>
    <row r="17" spans="1:5" x14ac:dyDescent="0.35">
      <c r="A17" s="110" t="s">
        <v>948</v>
      </c>
      <c r="B17" s="121">
        <v>150</v>
      </c>
      <c r="C17" s="121">
        <v>198.58</v>
      </c>
      <c r="D17" s="121">
        <v>249.69</v>
      </c>
    </row>
    <row r="18" spans="1:5" x14ac:dyDescent="0.35">
      <c r="A18" s="110" t="s">
        <v>512</v>
      </c>
      <c r="B18" s="121">
        <v>12944.42</v>
      </c>
      <c r="C18" s="121">
        <v>16287.5</v>
      </c>
      <c r="D18" s="121">
        <v>20750.64</v>
      </c>
    </row>
    <row r="19" spans="1:5" x14ac:dyDescent="0.35">
      <c r="A19" s="110" t="s">
        <v>513</v>
      </c>
      <c r="B19" s="121">
        <v>4025.82</v>
      </c>
      <c r="C19" s="121">
        <v>4719.67</v>
      </c>
      <c r="D19" s="121">
        <v>3922.86</v>
      </c>
    </row>
    <row r="20" spans="1:5" x14ac:dyDescent="0.35">
      <c r="A20" s="110" t="s">
        <v>949</v>
      </c>
      <c r="B20" s="121">
        <v>625.89</v>
      </c>
      <c r="C20" s="121">
        <v>620</v>
      </c>
      <c r="D20" s="121">
        <v>643.46</v>
      </c>
    </row>
    <row r="21" spans="1:5" x14ac:dyDescent="0.35">
      <c r="A21" s="110" t="s">
        <v>950</v>
      </c>
      <c r="B21" s="121">
        <v>6591.79</v>
      </c>
      <c r="C21" s="121">
        <v>3392.36</v>
      </c>
      <c r="D21" s="121">
        <v>2365.33</v>
      </c>
    </row>
    <row r="22" spans="1:5" x14ac:dyDescent="0.35">
      <c r="A22" s="110" t="s">
        <v>516</v>
      </c>
      <c r="B22" s="121">
        <v>9.81</v>
      </c>
      <c r="C22" s="121">
        <v>9.51</v>
      </c>
      <c r="D22" s="121">
        <v>8.52</v>
      </c>
    </row>
    <row r="23" spans="1:5" x14ac:dyDescent="0.35">
      <c r="A23" s="110" t="s">
        <v>517</v>
      </c>
      <c r="B23" s="121">
        <v>1181.74</v>
      </c>
      <c r="C23" s="121">
        <v>1656.25</v>
      </c>
      <c r="D23" s="121">
        <v>2361.34</v>
      </c>
    </row>
    <row r="24" spans="1:5" x14ac:dyDescent="0.35">
      <c r="A24" s="110" t="s">
        <v>518</v>
      </c>
      <c r="B24" s="121">
        <v>1383.19</v>
      </c>
      <c r="C24" s="121">
        <v>1371.85</v>
      </c>
      <c r="D24" s="121">
        <v>1783.61</v>
      </c>
    </row>
    <row r="25" spans="1:5" x14ac:dyDescent="0.35">
      <c r="A25" s="149" t="s">
        <v>951</v>
      </c>
      <c r="B25" s="150">
        <v>41065.54</v>
      </c>
      <c r="C25" s="150">
        <v>43893.279999999999</v>
      </c>
      <c r="D25" s="150">
        <v>50708.41</v>
      </c>
    </row>
    <row r="26" spans="1:5" x14ac:dyDescent="0.35">
      <c r="A26" s="151" t="s">
        <v>519</v>
      </c>
      <c r="B26" s="152">
        <v>91826.16</v>
      </c>
      <c r="C26" s="152">
        <v>88090.68</v>
      </c>
      <c r="D26" s="152">
        <v>93792.38</v>
      </c>
    </row>
    <row r="27" spans="1:5" ht="18" customHeight="1" thickBot="1" x14ac:dyDescent="0.4">
      <c r="A27" s="154" t="s">
        <v>952</v>
      </c>
      <c r="B27" s="154"/>
      <c r="C27" s="154"/>
      <c r="D27" s="154"/>
      <c r="E27" s="154"/>
    </row>
    <row r="28" spans="1:5" x14ac:dyDescent="0.35">
      <c r="A28" s="110" t="s">
        <v>520</v>
      </c>
      <c r="B28" s="121">
        <v>1248.47</v>
      </c>
      <c r="C28" s="121">
        <v>1251.4100000000001</v>
      </c>
      <c r="D28" s="121">
        <v>1252.95</v>
      </c>
    </row>
    <row r="29" spans="1:5" x14ac:dyDescent="0.35">
      <c r="A29" s="110" t="s">
        <v>521</v>
      </c>
      <c r="B29" s="121">
        <v>73258.53</v>
      </c>
      <c r="C29" s="121">
        <v>68778.64</v>
      </c>
      <c r="D29" s="121">
        <v>71254.350000000006</v>
      </c>
    </row>
    <row r="30" spans="1:5" x14ac:dyDescent="0.35">
      <c r="A30" s="110" t="s">
        <v>953</v>
      </c>
      <c r="B30" s="121">
        <v>382.97</v>
      </c>
      <c r="C30" s="121">
        <v>367.89</v>
      </c>
      <c r="D30" s="121">
        <v>365.72</v>
      </c>
    </row>
    <row r="31" spans="1:5" x14ac:dyDescent="0.35">
      <c r="A31" s="149" t="s">
        <v>954</v>
      </c>
      <c r="B31" s="150">
        <v>74889.97</v>
      </c>
      <c r="C31" s="150">
        <v>70397.94</v>
      </c>
      <c r="D31" s="150">
        <v>72873.02</v>
      </c>
    </row>
    <row r="32" spans="1:5" x14ac:dyDescent="0.35">
      <c r="A32" s="110" t="s">
        <v>955</v>
      </c>
      <c r="B32" s="121">
        <v>1.76</v>
      </c>
      <c r="C32" s="121">
        <v>0</v>
      </c>
      <c r="D32" s="121">
        <v>60</v>
      </c>
    </row>
    <row r="33" spans="1:5" x14ac:dyDescent="0.35">
      <c r="A33" s="110" t="s">
        <v>956</v>
      </c>
      <c r="B33" s="121">
        <v>230.61</v>
      </c>
      <c r="C33" s="121">
        <v>137.21</v>
      </c>
      <c r="D33" s="121">
        <v>140.86000000000001</v>
      </c>
    </row>
    <row r="34" spans="1:5" x14ac:dyDescent="0.35">
      <c r="A34" s="110" t="s">
        <v>957</v>
      </c>
      <c r="B34" s="121">
        <v>433.96</v>
      </c>
      <c r="C34" s="121">
        <v>301.33999999999997</v>
      </c>
      <c r="D34" s="121">
        <v>510.4</v>
      </c>
    </row>
    <row r="35" spans="1:5" x14ac:dyDescent="0.35">
      <c r="A35" s="110" t="s">
        <v>958</v>
      </c>
      <c r="B35" s="121">
        <v>288.3</v>
      </c>
      <c r="C35" s="121">
        <v>303.11</v>
      </c>
      <c r="D35" s="121">
        <v>389.43</v>
      </c>
    </row>
    <row r="36" spans="1:5" x14ac:dyDescent="0.35">
      <c r="A36" s="110" t="s">
        <v>530</v>
      </c>
      <c r="B36" s="121">
        <v>2141.44</v>
      </c>
      <c r="C36" s="121">
        <v>2582.46</v>
      </c>
      <c r="D36" s="121">
        <v>3089.62</v>
      </c>
    </row>
    <row r="37" spans="1:5" x14ac:dyDescent="0.35">
      <c r="A37" s="110" t="s">
        <v>959</v>
      </c>
      <c r="B37" s="121">
        <v>149.72</v>
      </c>
      <c r="C37" s="121">
        <v>34.51</v>
      </c>
      <c r="D37" s="121">
        <v>41.78</v>
      </c>
    </row>
    <row r="38" spans="1:5" x14ac:dyDescent="0.35">
      <c r="A38" s="149" t="s">
        <v>960</v>
      </c>
      <c r="B38" s="150">
        <v>3245.79</v>
      </c>
      <c r="C38" s="150">
        <v>3358.63</v>
      </c>
      <c r="D38" s="150">
        <v>4232.09</v>
      </c>
    </row>
    <row r="39" spans="1:5" x14ac:dyDescent="0.35">
      <c r="A39" s="110" t="s">
        <v>534</v>
      </c>
      <c r="B39" s="121">
        <v>9.52</v>
      </c>
      <c r="C39" s="121">
        <v>91.26</v>
      </c>
      <c r="D39" s="121">
        <v>2126.2199999999998</v>
      </c>
    </row>
    <row r="40" spans="1:5" x14ac:dyDescent="0.35">
      <c r="A40" s="110" t="s">
        <v>961</v>
      </c>
      <c r="B40" s="121">
        <v>61.54</v>
      </c>
      <c r="C40" s="121">
        <v>56.07</v>
      </c>
      <c r="D40" s="121">
        <v>71.98</v>
      </c>
    </row>
    <row r="41" spans="1:5" x14ac:dyDescent="0.35">
      <c r="A41" s="110" t="s">
        <v>536</v>
      </c>
      <c r="B41" s="121">
        <v>4797.83</v>
      </c>
      <c r="C41" s="121">
        <v>4807.3</v>
      </c>
      <c r="D41" s="121">
        <v>5639.55</v>
      </c>
    </row>
    <row r="42" spans="1:5" x14ac:dyDescent="0.35">
      <c r="A42" s="110" t="s">
        <v>962</v>
      </c>
      <c r="B42" s="121">
        <v>2179</v>
      </c>
      <c r="C42" s="121">
        <v>1921.5</v>
      </c>
      <c r="D42" s="121">
        <v>2099.15</v>
      </c>
    </row>
    <row r="43" spans="1:5" x14ac:dyDescent="0.35">
      <c r="A43" s="110" t="s">
        <v>538</v>
      </c>
      <c r="B43" s="121">
        <v>5594.72</v>
      </c>
      <c r="C43" s="121">
        <v>6148.27</v>
      </c>
      <c r="D43" s="121">
        <v>5037.6400000000003</v>
      </c>
    </row>
    <row r="44" spans="1:5" x14ac:dyDescent="0.35">
      <c r="A44" s="110" t="s">
        <v>963</v>
      </c>
      <c r="B44" s="121">
        <v>106.91</v>
      </c>
      <c r="C44" s="121">
        <v>80.06</v>
      </c>
      <c r="D44" s="121">
        <v>423.91</v>
      </c>
    </row>
    <row r="45" spans="1:5" x14ac:dyDescent="0.35">
      <c r="A45" s="110" t="s">
        <v>540</v>
      </c>
      <c r="B45" s="121">
        <v>940.88</v>
      </c>
      <c r="C45" s="121">
        <v>1229.6500000000001</v>
      </c>
      <c r="D45" s="121">
        <v>1288.82</v>
      </c>
    </row>
    <row r="46" spans="1:5" x14ac:dyDescent="0.35">
      <c r="A46" s="149" t="s">
        <v>964</v>
      </c>
      <c r="B46" s="150">
        <v>13690.4</v>
      </c>
      <c r="C46" s="150">
        <v>14334.11</v>
      </c>
      <c r="D46" s="150">
        <v>16687.27</v>
      </c>
    </row>
    <row r="47" spans="1:5" x14ac:dyDescent="0.35">
      <c r="A47" s="118" t="s">
        <v>541</v>
      </c>
      <c r="B47" s="126">
        <v>91826.16</v>
      </c>
      <c r="C47" s="126">
        <v>88090.68</v>
      </c>
      <c r="D47" s="126">
        <v>93792.38</v>
      </c>
    </row>
    <row r="48" spans="1:5" ht="18" customHeight="1" thickBot="1" x14ac:dyDescent="0.4">
      <c r="A48" s="154" t="s">
        <v>965</v>
      </c>
      <c r="B48" s="154"/>
      <c r="C48" s="154"/>
      <c r="D48" s="154"/>
      <c r="E48" s="154"/>
    </row>
    <row r="49" spans="1:4" x14ac:dyDescent="0.35">
      <c r="A49" s="110" t="s">
        <v>545</v>
      </c>
      <c r="B49" s="121">
        <v>73891.429999999993</v>
      </c>
      <c r="C49" s="121">
        <v>81612.78</v>
      </c>
      <c r="D49" s="121">
        <v>89913.33</v>
      </c>
    </row>
    <row r="50" spans="1:4" x14ac:dyDescent="0.35">
      <c r="A50" s="110" t="s">
        <v>185</v>
      </c>
      <c r="B50" s="121">
        <v>2693.22</v>
      </c>
      <c r="C50" s="121">
        <v>2529.69</v>
      </c>
      <c r="D50" s="121">
        <v>2425.8000000000002</v>
      </c>
    </row>
    <row r="51" spans="1:4" x14ac:dyDescent="0.35">
      <c r="A51" s="149" t="s">
        <v>966</v>
      </c>
      <c r="B51" s="150">
        <v>76584.649999999994</v>
      </c>
      <c r="C51" s="150">
        <v>84142.47</v>
      </c>
      <c r="D51" s="150">
        <v>92339.13</v>
      </c>
    </row>
    <row r="52" spans="1:4" x14ac:dyDescent="0.35">
      <c r="A52" s="110" t="s">
        <v>548</v>
      </c>
      <c r="B52" s="121">
        <v>21288.44</v>
      </c>
      <c r="C52" s="121">
        <v>23757.33</v>
      </c>
      <c r="D52" s="121">
        <v>26272.33</v>
      </c>
    </row>
    <row r="53" spans="1:4" x14ac:dyDescent="0.35">
      <c r="A53" s="110" t="s">
        <v>967</v>
      </c>
      <c r="B53" s="121">
        <v>6060.13</v>
      </c>
      <c r="C53" s="121">
        <v>8947.0400000000009</v>
      </c>
      <c r="D53" s="121">
        <v>8826.01</v>
      </c>
    </row>
    <row r="54" spans="1:4" x14ac:dyDescent="0.35">
      <c r="A54" s="110" t="s">
        <v>550</v>
      </c>
      <c r="B54" s="121">
        <v>367.77</v>
      </c>
      <c r="C54" s="121">
        <v>725.65</v>
      </c>
      <c r="D54" s="121">
        <v>2550.46</v>
      </c>
    </row>
    <row r="55" spans="1:4" x14ac:dyDescent="0.35">
      <c r="A55" s="110" t="s">
        <v>551</v>
      </c>
      <c r="B55" s="121">
        <v>5959.49</v>
      </c>
      <c r="C55" s="121">
        <v>6289.44</v>
      </c>
      <c r="D55" s="121">
        <v>11044.93</v>
      </c>
    </row>
    <row r="56" spans="1:4" x14ac:dyDescent="0.35">
      <c r="A56" s="110" t="s">
        <v>552</v>
      </c>
      <c r="B56" s="121">
        <v>5548.53</v>
      </c>
      <c r="C56" s="121">
        <v>6169.78</v>
      </c>
      <c r="D56" s="121">
        <v>6781.5</v>
      </c>
    </row>
    <row r="57" spans="1:4" x14ac:dyDescent="0.35">
      <c r="A57" s="110" t="s">
        <v>553</v>
      </c>
      <c r="B57" s="121">
        <v>39.11</v>
      </c>
      <c r="C57" s="121">
        <v>45.06</v>
      </c>
      <c r="D57" s="121">
        <v>85.17</v>
      </c>
    </row>
    <row r="58" spans="1:4" x14ac:dyDescent="0.35">
      <c r="A58" s="110" t="s">
        <v>756</v>
      </c>
      <c r="B58" s="121">
        <v>1518.05</v>
      </c>
      <c r="C58" s="121">
        <v>1646.32</v>
      </c>
      <c r="D58" s="121">
        <v>1710.53</v>
      </c>
    </row>
    <row r="59" spans="1:4" x14ac:dyDescent="0.35">
      <c r="A59" s="110" t="s">
        <v>555</v>
      </c>
      <c r="B59" s="121">
        <v>10152.82</v>
      </c>
      <c r="C59" s="121">
        <v>11196.63</v>
      </c>
      <c r="D59" s="121">
        <v>12221.11</v>
      </c>
    </row>
    <row r="60" spans="1:4" x14ac:dyDescent="0.35">
      <c r="A60" s="149" t="s">
        <v>968</v>
      </c>
      <c r="B60" s="150">
        <v>50198.8</v>
      </c>
      <c r="C60" s="150">
        <v>57325.95</v>
      </c>
      <c r="D60" s="150">
        <v>64391.12</v>
      </c>
    </row>
    <row r="61" spans="1:4" x14ac:dyDescent="0.35">
      <c r="A61" s="110" t="s">
        <v>969</v>
      </c>
      <c r="B61" s="121">
        <v>14.43</v>
      </c>
      <c r="C61" s="121">
        <v>110.42</v>
      </c>
      <c r="D61" s="121">
        <v>377.08</v>
      </c>
    </row>
    <row r="62" spans="1:4" x14ac:dyDescent="0.35">
      <c r="A62" s="110" t="s">
        <v>970</v>
      </c>
      <c r="B62" s="121">
        <v>26400.28</v>
      </c>
      <c r="C62" s="121">
        <v>26926.94</v>
      </c>
      <c r="D62" s="121">
        <v>28325.09</v>
      </c>
    </row>
    <row r="63" spans="1:4" x14ac:dyDescent="0.35">
      <c r="A63" s="110" t="s">
        <v>559</v>
      </c>
      <c r="B63" s="121">
        <v>72.87</v>
      </c>
      <c r="C63" s="121">
        <v>0</v>
      </c>
      <c r="D63" s="121">
        <v>291.7</v>
      </c>
    </row>
    <row r="64" spans="1:4" x14ac:dyDescent="0.35">
      <c r="A64" s="110" t="s">
        <v>971</v>
      </c>
      <c r="B64" s="121">
        <v>26400.28</v>
      </c>
      <c r="C64" s="121">
        <v>26926.94</v>
      </c>
      <c r="D64" s="121">
        <v>28325.09</v>
      </c>
    </row>
    <row r="65" spans="1:5" x14ac:dyDescent="0.35">
      <c r="A65" s="110" t="s">
        <v>239</v>
      </c>
      <c r="B65" s="121">
        <v>6165.27</v>
      </c>
      <c r="C65" s="121">
        <v>6509.61</v>
      </c>
      <c r="D65" s="121">
        <v>6412.97</v>
      </c>
    </row>
    <row r="66" spans="1:5" x14ac:dyDescent="0.35">
      <c r="A66" s="110" t="s">
        <v>240</v>
      </c>
      <c r="B66" s="121">
        <v>192.25</v>
      </c>
      <c r="C66" s="121">
        <v>380.86</v>
      </c>
      <c r="D66" s="121">
        <v>602.27</v>
      </c>
    </row>
    <row r="67" spans="1:5" x14ac:dyDescent="0.35">
      <c r="A67" s="110" t="s">
        <v>972</v>
      </c>
      <c r="B67" s="121">
        <v>20190.82</v>
      </c>
      <c r="C67" s="121">
        <v>20036.47</v>
      </c>
      <c r="D67" s="121">
        <v>21018.15</v>
      </c>
    </row>
    <row r="68" spans="1:5" x14ac:dyDescent="0.35">
      <c r="A68" s="110" t="s">
        <v>973</v>
      </c>
      <c r="B68" s="121">
        <v>560.54</v>
      </c>
      <c r="C68" s="121">
        <v>15016.01</v>
      </c>
      <c r="D68" s="121">
        <v>0</v>
      </c>
    </row>
    <row r="69" spans="1:5" x14ac:dyDescent="0.35">
      <c r="A69" s="149" t="s">
        <v>974</v>
      </c>
      <c r="B69" s="150">
        <v>20751.36</v>
      </c>
      <c r="C69" s="150">
        <v>35052.480000000003</v>
      </c>
      <c r="D69" s="150">
        <v>21018.15</v>
      </c>
    </row>
    <row r="70" spans="1:5" x14ac:dyDescent="0.35">
      <c r="A70" s="110" t="s">
        <v>564</v>
      </c>
      <c r="B70" s="121">
        <v>2955.66</v>
      </c>
      <c r="C70" s="121">
        <v>624.86</v>
      </c>
      <c r="D70" s="121">
        <v>643.29</v>
      </c>
    </row>
    <row r="71" spans="1:5" x14ac:dyDescent="0.35">
      <c r="A71" s="110" t="s">
        <v>565</v>
      </c>
      <c r="B71" s="121">
        <v>23707.02</v>
      </c>
      <c r="C71" s="121">
        <v>34427.620000000003</v>
      </c>
      <c r="D71" s="121">
        <v>20374.86</v>
      </c>
    </row>
    <row r="72" spans="1:5" x14ac:dyDescent="0.35">
      <c r="A72" s="110" t="s">
        <v>975</v>
      </c>
      <c r="B72" s="121">
        <v>20458.78</v>
      </c>
      <c r="C72" s="121">
        <v>34746.629999999997</v>
      </c>
      <c r="D72" s="121">
        <v>20689.47</v>
      </c>
    </row>
    <row r="73" spans="1:5" x14ac:dyDescent="0.35">
      <c r="A73" s="110" t="s">
        <v>976</v>
      </c>
      <c r="B73" s="121">
        <v>16.420000000000002</v>
      </c>
      <c r="C73" s="121">
        <v>27.79</v>
      </c>
      <c r="D73" s="121">
        <v>16.52</v>
      </c>
    </row>
    <row r="74" spans="1:5" x14ac:dyDescent="0.35">
      <c r="A74" s="110" t="s">
        <v>977</v>
      </c>
      <c r="B74" s="121">
        <v>16.38</v>
      </c>
      <c r="C74" s="121">
        <v>27.75</v>
      </c>
      <c r="D74" s="121">
        <v>16.510000000000002</v>
      </c>
    </row>
    <row r="75" spans="1:5" x14ac:dyDescent="0.35">
      <c r="A75" s="110" t="s">
        <v>978</v>
      </c>
      <c r="B75" s="121">
        <v>15.98</v>
      </c>
      <c r="C75" s="121">
        <v>15.78</v>
      </c>
      <c r="D75" s="121">
        <v>16.52</v>
      </c>
    </row>
    <row r="76" spans="1:5" ht="18" customHeight="1" thickBot="1" x14ac:dyDescent="0.4">
      <c r="A76" s="154" t="s">
        <v>142</v>
      </c>
      <c r="B76" s="154"/>
      <c r="C76" s="154"/>
      <c r="D76" s="154"/>
      <c r="E76" s="154"/>
    </row>
    <row r="77" spans="1:5" x14ac:dyDescent="0.35">
      <c r="A77" s="110" t="s">
        <v>752</v>
      </c>
      <c r="B77" s="121">
        <v>26400.28</v>
      </c>
      <c r="C77" s="121">
        <v>26926.94</v>
      </c>
      <c r="D77" s="121">
        <v>28033.39</v>
      </c>
    </row>
    <row r="78" spans="1:5" x14ac:dyDescent="0.35">
      <c r="A78" s="110" t="s">
        <v>979</v>
      </c>
      <c r="B78" s="121">
        <v>1816.39</v>
      </c>
      <c r="C78" s="121">
        <v>1950.58</v>
      </c>
      <c r="D78" s="121">
        <v>1710.53</v>
      </c>
    </row>
    <row r="79" spans="1:5" x14ac:dyDescent="0.35">
      <c r="A79" s="110" t="s">
        <v>980</v>
      </c>
      <c r="B79" s="121">
        <v>45.96</v>
      </c>
      <c r="C79" s="121">
        <v>50.01</v>
      </c>
      <c r="D79" s="121">
        <v>85.17</v>
      </c>
    </row>
    <row r="80" spans="1:5" x14ac:dyDescent="0.35">
      <c r="A80" s="110" t="s">
        <v>981</v>
      </c>
      <c r="B80" s="121">
        <v>1710.51</v>
      </c>
      <c r="C80" s="121">
        <v>1510.46</v>
      </c>
      <c r="D80" s="121">
        <v>1462.23</v>
      </c>
    </row>
    <row r="81" spans="1:4" x14ac:dyDescent="0.35">
      <c r="A81" s="110" t="s">
        <v>982</v>
      </c>
      <c r="B81" s="121">
        <v>3337.03</v>
      </c>
      <c r="C81" s="121">
        <v>2742</v>
      </c>
      <c r="D81" s="121">
        <v>2762.28</v>
      </c>
    </row>
    <row r="82" spans="1:4" x14ac:dyDescent="0.35">
      <c r="A82" s="110" t="s">
        <v>772</v>
      </c>
      <c r="B82" s="121">
        <v>23298.42</v>
      </c>
      <c r="C82" s="121">
        <v>23977.24</v>
      </c>
      <c r="D82" s="121">
        <v>24837.919999999998</v>
      </c>
    </row>
    <row r="83" spans="1:4" x14ac:dyDescent="0.35">
      <c r="A83" s="110" t="s">
        <v>776</v>
      </c>
      <c r="B83" s="121">
        <v>6119.56</v>
      </c>
      <c r="C83" s="121">
        <v>6350.2</v>
      </c>
      <c r="D83" s="121">
        <v>6373.61</v>
      </c>
    </row>
    <row r="84" spans="1:4" x14ac:dyDescent="0.35">
      <c r="A84" s="149" t="s">
        <v>983</v>
      </c>
      <c r="B84" s="150">
        <v>17178.86</v>
      </c>
      <c r="C84" s="150">
        <v>17627.04</v>
      </c>
      <c r="D84" s="150">
        <v>18464.310000000001</v>
      </c>
    </row>
    <row r="85" spans="1:4" x14ac:dyDescent="0.35">
      <c r="A85" s="110" t="s">
        <v>984</v>
      </c>
      <c r="B85" s="121">
        <v>3562.53</v>
      </c>
      <c r="C85" s="121">
        <v>2278.6999999999998</v>
      </c>
      <c r="D85" s="121">
        <v>2182.89</v>
      </c>
    </row>
    <row r="86" spans="1:4" x14ac:dyDescent="0.35">
      <c r="A86" s="110" t="s">
        <v>985</v>
      </c>
      <c r="B86" s="121">
        <v>1035.71</v>
      </c>
      <c r="C86" s="121">
        <v>82.67</v>
      </c>
      <c r="D86" s="121">
        <v>2415.17</v>
      </c>
    </row>
    <row r="87" spans="1:4" x14ac:dyDescent="0.35">
      <c r="A87" s="110" t="s">
        <v>986</v>
      </c>
      <c r="B87" s="121">
        <v>1150</v>
      </c>
      <c r="C87" s="121">
        <v>1109.95</v>
      </c>
      <c r="D87" s="121">
        <v>947.46</v>
      </c>
    </row>
    <row r="88" spans="1:4" x14ac:dyDescent="0.35">
      <c r="A88" s="149" t="s">
        <v>987</v>
      </c>
      <c r="B88" s="150">
        <v>1562.77</v>
      </c>
      <c r="C88" s="150">
        <v>395.82</v>
      </c>
      <c r="D88" s="150">
        <v>2320.7399999999998</v>
      </c>
    </row>
    <row r="89" spans="1:4" x14ac:dyDescent="0.35">
      <c r="A89" s="110" t="s">
        <v>988</v>
      </c>
      <c r="B89" s="121">
        <v>1442.83</v>
      </c>
      <c r="C89" s="121">
        <v>797.33</v>
      </c>
      <c r="D89" s="121">
        <v>404.85</v>
      </c>
    </row>
    <row r="90" spans="1:4" x14ac:dyDescent="0.35">
      <c r="A90" s="110" t="s">
        <v>989</v>
      </c>
      <c r="B90" s="121">
        <v>6.43</v>
      </c>
      <c r="C90" s="121">
        <v>35.479999999999997</v>
      </c>
      <c r="D90" s="121">
        <v>2015.99</v>
      </c>
    </row>
    <row r="91" spans="1:4" x14ac:dyDescent="0.35">
      <c r="A91" s="110" t="s">
        <v>808</v>
      </c>
      <c r="B91" s="121">
        <v>19899.2</v>
      </c>
      <c r="C91" s="121">
        <v>17782.22</v>
      </c>
      <c r="D91" s="121">
        <v>18271.439999999999</v>
      </c>
    </row>
    <row r="92" spans="1:4" x14ac:dyDescent="0.35">
      <c r="A92" s="110" t="s">
        <v>990</v>
      </c>
      <c r="B92" s="121">
        <v>46.25</v>
      </c>
      <c r="C92" s="121">
        <v>50.01</v>
      </c>
      <c r="D92" s="121">
        <v>81.7</v>
      </c>
    </row>
    <row r="93" spans="1:4" x14ac:dyDescent="0.35">
      <c r="A93" s="149" t="s">
        <v>991</v>
      </c>
      <c r="B93" s="150">
        <v>18550.96</v>
      </c>
      <c r="C93" s="150">
        <v>17037.400000000001</v>
      </c>
      <c r="D93" s="150">
        <v>16147.12</v>
      </c>
    </row>
    <row r="94" spans="1:4" x14ac:dyDescent="0.35">
      <c r="A94" s="110" t="s">
        <v>992</v>
      </c>
      <c r="B94" s="121">
        <v>190.67</v>
      </c>
      <c r="C94" s="121">
        <v>225.54</v>
      </c>
      <c r="D94" s="121">
        <v>3.55</v>
      </c>
    </row>
    <row r="95" spans="1:4" x14ac:dyDescent="0.35">
      <c r="A95" s="110" t="s">
        <v>993</v>
      </c>
      <c r="B95" s="121">
        <v>405.91</v>
      </c>
      <c r="C95" s="121">
        <v>596.58000000000004</v>
      </c>
      <c r="D95" s="121">
        <v>622.38</v>
      </c>
    </row>
    <row r="96" spans="1:4" x14ac:dyDescent="0.35">
      <c r="A96" s="118" t="s">
        <v>994</v>
      </c>
      <c r="B96" s="126">
        <v>596.58000000000004</v>
      </c>
      <c r="C96" s="126">
        <v>622.38</v>
      </c>
      <c r="D96" s="126">
        <v>618.83000000000004</v>
      </c>
    </row>
  </sheetData>
  <mergeCells count="5">
    <mergeCell ref="A1:E1"/>
    <mergeCell ref="A3:E3"/>
    <mergeCell ref="A27:E27"/>
    <mergeCell ref="A48:E48"/>
    <mergeCell ref="A76:E7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565E-C900-4C2A-B3DB-255DE0BDCC8D}">
  <sheetPr>
    <tabColor rgb="FF1F3864"/>
  </sheetPr>
  <dimension ref="A1:F55"/>
  <sheetViews>
    <sheetView zoomScaleNormal="100" workbookViewId="0">
      <pane xSplit="1" ySplit="3" topLeftCell="B4" activePane="bottomRight" state="frozen"/>
      <selection sqref="A1:F1"/>
      <selection pane="topRight" sqref="A1:F1"/>
      <selection pane="bottomLeft" sqref="A1:F1"/>
      <selection pane="bottomRight" activeCell="A4" sqref="A4:F4"/>
    </sheetView>
  </sheetViews>
  <sheetFormatPr defaultColWidth="8.6328125" defaultRowHeight="14.5" x14ac:dyDescent="0.35"/>
  <cols>
    <col min="1" max="1" width="40" customWidth="1"/>
    <col min="2" max="6" width="16" customWidth="1"/>
  </cols>
  <sheetData>
    <row r="1" spans="1:6" ht="30" customHeight="1" x14ac:dyDescent="0.35">
      <c r="A1" s="160" t="s">
        <v>489</v>
      </c>
      <c r="B1" s="160"/>
      <c r="C1" s="160"/>
      <c r="D1" s="160"/>
      <c r="E1" s="160"/>
      <c r="F1" s="160"/>
    </row>
    <row r="2" spans="1:6" ht="39.75" customHeight="1" x14ac:dyDescent="0.35">
      <c r="A2" s="161" t="s">
        <v>490</v>
      </c>
      <c r="B2" s="162" t="s">
        <v>491</v>
      </c>
      <c r="C2" s="162" t="s">
        <v>492</v>
      </c>
      <c r="D2" s="162" t="s">
        <v>493</v>
      </c>
      <c r="E2" s="162" t="s">
        <v>494</v>
      </c>
      <c r="F2" s="162" t="s">
        <v>495</v>
      </c>
    </row>
    <row r="3" spans="1:6" ht="4.5" customHeight="1" x14ac:dyDescent="0.35">
      <c r="A3" s="161"/>
      <c r="B3" s="162"/>
      <c r="C3" s="162"/>
      <c r="D3" s="162"/>
      <c r="E3" s="162"/>
      <c r="F3" s="162"/>
    </row>
    <row r="4" spans="1:6" ht="15.75" customHeight="1" x14ac:dyDescent="0.35">
      <c r="A4" s="159" t="s">
        <v>496</v>
      </c>
      <c r="B4" s="159"/>
      <c r="C4" s="159"/>
      <c r="D4" s="159"/>
      <c r="E4" s="159"/>
      <c r="F4" s="159"/>
    </row>
    <row r="5" spans="1:6" ht="15" customHeight="1" x14ac:dyDescent="0.35">
      <c r="A5" s="86" t="s">
        <v>497</v>
      </c>
      <c r="B5" s="87">
        <v>23082.33</v>
      </c>
      <c r="C5" s="87">
        <v>17428.89</v>
      </c>
      <c r="D5" s="87">
        <v>17471.2</v>
      </c>
      <c r="E5" s="87">
        <f t="shared" ref="E5:F17" si="0">C5-B5</f>
        <v>-5653.4400000000023</v>
      </c>
      <c r="F5" s="87">
        <f t="shared" si="0"/>
        <v>42.31000000000131</v>
      </c>
    </row>
    <row r="6" spans="1:6" ht="15" customHeight="1" x14ac:dyDescent="0.35">
      <c r="A6" s="86" t="s">
        <v>498</v>
      </c>
      <c r="B6" s="87">
        <v>2851.14</v>
      </c>
      <c r="C6" s="87">
        <v>1087.5999999999999</v>
      </c>
      <c r="D6" s="87">
        <v>1499.41</v>
      </c>
      <c r="E6" s="87">
        <f t="shared" si="0"/>
        <v>-1763.54</v>
      </c>
      <c r="F6" s="87">
        <f t="shared" si="0"/>
        <v>411.81000000000017</v>
      </c>
    </row>
    <row r="7" spans="1:6" ht="15" customHeight="1" x14ac:dyDescent="0.35">
      <c r="A7" s="86" t="s">
        <v>499</v>
      </c>
      <c r="B7" s="87">
        <v>340.93</v>
      </c>
      <c r="C7" s="87">
        <v>322.39999999999998</v>
      </c>
      <c r="D7" s="87">
        <v>303.36</v>
      </c>
      <c r="E7" s="87">
        <f t="shared" si="0"/>
        <v>-18.53000000000003</v>
      </c>
      <c r="F7" s="87">
        <f t="shared" si="0"/>
        <v>-19.039999999999964</v>
      </c>
    </row>
    <row r="8" spans="1:6" ht="15" customHeight="1" x14ac:dyDescent="0.35">
      <c r="A8" s="86" t="s">
        <v>500</v>
      </c>
      <c r="B8" s="87">
        <v>779.73</v>
      </c>
      <c r="C8" s="87">
        <v>896.93</v>
      </c>
      <c r="D8" s="87">
        <v>993.29</v>
      </c>
      <c r="E8" s="87">
        <f t="shared" si="0"/>
        <v>117.19999999999993</v>
      </c>
      <c r="F8" s="87">
        <f t="shared" si="0"/>
        <v>96.360000000000014</v>
      </c>
    </row>
    <row r="9" spans="1:6" ht="15" customHeight="1" x14ac:dyDescent="0.35">
      <c r="A9" s="86" t="s">
        <v>501</v>
      </c>
      <c r="B9" s="87">
        <v>2678.11</v>
      </c>
      <c r="C9" s="87">
        <v>2724.74</v>
      </c>
      <c r="D9" s="87">
        <v>3173.66</v>
      </c>
      <c r="E9" s="87">
        <f t="shared" si="0"/>
        <v>46.629999999999654</v>
      </c>
      <c r="F9" s="87">
        <f t="shared" si="0"/>
        <v>448.92000000000007</v>
      </c>
    </row>
    <row r="10" spans="1:6" ht="15" customHeight="1" x14ac:dyDescent="0.35">
      <c r="A10" s="86" t="s">
        <v>502</v>
      </c>
      <c r="B10" s="87">
        <v>9.64</v>
      </c>
      <c r="C10" s="87">
        <v>3.31</v>
      </c>
      <c r="D10" s="87">
        <v>102.47</v>
      </c>
      <c r="E10" s="87">
        <f t="shared" si="0"/>
        <v>-6.33</v>
      </c>
      <c r="F10" s="87">
        <f t="shared" si="0"/>
        <v>99.16</v>
      </c>
    </row>
    <row r="11" spans="1:6" ht="15" customHeight="1" x14ac:dyDescent="0.35">
      <c r="A11" s="86" t="s">
        <v>503</v>
      </c>
      <c r="B11" s="87">
        <v>939.12</v>
      </c>
      <c r="C11" s="87">
        <v>581.89</v>
      </c>
      <c r="D11" s="87">
        <v>501.02</v>
      </c>
      <c r="E11" s="87">
        <f t="shared" si="0"/>
        <v>-357.23</v>
      </c>
      <c r="F11" s="87">
        <f t="shared" si="0"/>
        <v>-80.87</v>
      </c>
    </row>
    <row r="12" spans="1:6" ht="15" customHeight="1" x14ac:dyDescent="0.35">
      <c r="A12" s="86" t="s">
        <v>504</v>
      </c>
      <c r="B12" s="87">
        <v>549.73</v>
      </c>
      <c r="C12" s="87">
        <v>4711.78</v>
      </c>
      <c r="D12" s="87">
        <v>5288.24</v>
      </c>
      <c r="E12" s="87">
        <f t="shared" si="0"/>
        <v>4162.0499999999993</v>
      </c>
      <c r="F12" s="87">
        <f t="shared" si="0"/>
        <v>576.46</v>
      </c>
    </row>
    <row r="13" spans="1:6" ht="15" customHeight="1" x14ac:dyDescent="0.35">
      <c r="A13" s="86" t="s">
        <v>505</v>
      </c>
      <c r="B13" s="87">
        <v>18032.91</v>
      </c>
      <c r="C13" s="87">
        <v>15285.71</v>
      </c>
      <c r="D13" s="87">
        <v>12437.64</v>
      </c>
      <c r="E13" s="87">
        <f t="shared" si="0"/>
        <v>-2747.2000000000007</v>
      </c>
      <c r="F13" s="87">
        <f t="shared" si="0"/>
        <v>-2848.0699999999997</v>
      </c>
    </row>
    <row r="14" spans="1:6" ht="15" customHeight="1" x14ac:dyDescent="0.35">
      <c r="A14" s="86" t="s">
        <v>506</v>
      </c>
      <c r="B14" s="87">
        <v>72.19</v>
      </c>
      <c r="C14" s="87">
        <v>87.98</v>
      </c>
      <c r="D14" s="87">
        <v>155.18</v>
      </c>
      <c r="E14" s="87">
        <f t="shared" si="0"/>
        <v>15.790000000000006</v>
      </c>
      <c r="F14" s="87">
        <f t="shared" si="0"/>
        <v>67.2</v>
      </c>
    </row>
    <row r="15" spans="1:6" ht="15" customHeight="1" x14ac:dyDescent="0.35">
      <c r="A15" s="86" t="s">
        <v>507</v>
      </c>
      <c r="B15" s="87">
        <v>44.93</v>
      </c>
      <c r="C15" s="87">
        <v>50.24</v>
      </c>
      <c r="D15" s="87">
        <v>70.05</v>
      </c>
      <c r="E15" s="87">
        <f t="shared" si="0"/>
        <v>5.3100000000000023</v>
      </c>
      <c r="F15" s="87">
        <f t="shared" si="0"/>
        <v>19.809999999999995</v>
      </c>
    </row>
    <row r="16" spans="1:6" ht="15" customHeight="1" x14ac:dyDescent="0.35">
      <c r="A16" s="86" t="s">
        <v>508</v>
      </c>
      <c r="B16" s="87">
        <v>1379.86</v>
      </c>
      <c r="C16" s="87">
        <v>1015.93</v>
      </c>
      <c r="D16" s="87">
        <v>1088.45</v>
      </c>
      <c r="E16" s="87">
        <f t="shared" si="0"/>
        <v>-363.92999999999995</v>
      </c>
      <c r="F16" s="87">
        <f t="shared" si="0"/>
        <v>72.520000000000095</v>
      </c>
    </row>
    <row r="17" spans="1:6" ht="15" customHeight="1" x14ac:dyDescent="0.35">
      <c r="A17" s="88" t="s">
        <v>509</v>
      </c>
      <c r="B17" s="89">
        <v>50760.62</v>
      </c>
      <c r="C17" s="89">
        <v>44197.4</v>
      </c>
      <c r="D17" s="89">
        <v>43083.97</v>
      </c>
      <c r="E17" s="89">
        <f t="shared" si="0"/>
        <v>-6563.2200000000012</v>
      </c>
      <c r="F17" s="89">
        <f t="shared" si="0"/>
        <v>-1113.4300000000003</v>
      </c>
    </row>
    <row r="18" spans="1:6" ht="15.75" customHeight="1" x14ac:dyDescent="0.35">
      <c r="A18" s="159" t="s">
        <v>510</v>
      </c>
      <c r="B18" s="159"/>
      <c r="C18" s="159"/>
      <c r="D18" s="159"/>
      <c r="E18" s="159"/>
      <c r="F18" s="159"/>
    </row>
    <row r="19" spans="1:6" ht="15" customHeight="1" x14ac:dyDescent="0.35">
      <c r="A19" s="86" t="s">
        <v>263</v>
      </c>
      <c r="B19" s="87">
        <v>14152.88</v>
      </c>
      <c r="C19" s="87">
        <v>15637.56</v>
      </c>
      <c r="D19" s="87">
        <v>18622.96</v>
      </c>
      <c r="E19" s="87">
        <f t="shared" ref="E19:F29" si="1">C19-B19</f>
        <v>1484.6800000000003</v>
      </c>
      <c r="F19" s="87">
        <f t="shared" si="1"/>
        <v>2985.3999999999996</v>
      </c>
    </row>
    <row r="20" spans="1:6" ht="15" customHeight="1" x14ac:dyDescent="0.35">
      <c r="A20" s="86" t="s">
        <v>511</v>
      </c>
      <c r="B20" s="87">
        <v>150</v>
      </c>
      <c r="C20" s="87">
        <v>198.58</v>
      </c>
      <c r="D20" s="87">
        <v>249.69</v>
      </c>
      <c r="E20" s="87">
        <f t="shared" si="1"/>
        <v>48.580000000000013</v>
      </c>
      <c r="F20" s="87">
        <f t="shared" si="1"/>
        <v>51.109999999999985</v>
      </c>
    </row>
    <row r="21" spans="1:6" ht="15" customHeight="1" x14ac:dyDescent="0.35">
      <c r="A21" s="86" t="s">
        <v>512</v>
      </c>
      <c r="B21" s="87">
        <v>12944.42</v>
      </c>
      <c r="C21" s="87">
        <v>16287.5</v>
      </c>
      <c r="D21" s="87">
        <v>20750.64</v>
      </c>
      <c r="E21" s="87">
        <f t="shared" si="1"/>
        <v>3343.08</v>
      </c>
      <c r="F21" s="87">
        <f t="shared" si="1"/>
        <v>4463.1399999999994</v>
      </c>
    </row>
    <row r="22" spans="1:6" ht="15" customHeight="1" x14ac:dyDescent="0.35">
      <c r="A22" s="86" t="s">
        <v>513</v>
      </c>
      <c r="B22" s="87">
        <v>4025.82</v>
      </c>
      <c r="C22" s="87">
        <v>4719.67</v>
      </c>
      <c r="D22" s="87">
        <v>3922.86</v>
      </c>
      <c r="E22" s="87">
        <f t="shared" si="1"/>
        <v>693.84999999999991</v>
      </c>
      <c r="F22" s="87">
        <f t="shared" si="1"/>
        <v>-796.81</v>
      </c>
    </row>
    <row r="23" spans="1:6" ht="15" customHeight="1" x14ac:dyDescent="0.35">
      <c r="A23" s="86" t="s">
        <v>514</v>
      </c>
      <c r="B23" s="87">
        <v>625.89</v>
      </c>
      <c r="C23" s="87">
        <v>620</v>
      </c>
      <c r="D23" s="87">
        <v>643.46</v>
      </c>
      <c r="E23" s="87">
        <f t="shared" si="1"/>
        <v>-5.8899999999999864</v>
      </c>
      <c r="F23" s="87">
        <f t="shared" si="1"/>
        <v>23.460000000000036</v>
      </c>
    </row>
    <row r="24" spans="1:6" ht="15" customHeight="1" x14ac:dyDescent="0.35">
      <c r="A24" s="86" t="s">
        <v>515</v>
      </c>
      <c r="B24" s="87">
        <v>6591.79</v>
      </c>
      <c r="C24" s="87">
        <v>3392.36</v>
      </c>
      <c r="D24" s="87">
        <v>2365.33</v>
      </c>
      <c r="E24" s="87">
        <f t="shared" si="1"/>
        <v>-3199.43</v>
      </c>
      <c r="F24" s="87">
        <f t="shared" si="1"/>
        <v>-1027.0300000000002</v>
      </c>
    </row>
    <row r="25" spans="1:6" ht="15" customHeight="1" x14ac:dyDescent="0.35">
      <c r="A25" s="86" t="s">
        <v>516</v>
      </c>
      <c r="B25" s="87">
        <v>9.81</v>
      </c>
      <c r="C25" s="87">
        <v>9.51</v>
      </c>
      <c r="D25" s="87">
        <v>8.52</v>
      </c>
      <c r="E25" s="87">
        <f t="shared" si="1"/>
        <v>-0.30000000000000071</v>
      </c>
      <c r="F25" s="87">
        <f t="shared" si="1"/>
        <v>-0.99000000000000021</v>
      </c>
    </row>
    <row r="26" spans="1:6" ht="15" customHeight="1" x14ac:dyDescent="0.35">
      <c r="A26" s="86" t="s">
        <v>517</v>
      </c>
      <c r="B26" s="87">
        <v>1181.74</v>
      </c>
      <c r="C26" s="87">
        <v>1662.32</v>
      </c>
      <c r="D26" s="87">
        <v>2361.34</v>
      </c>
      <c r="E26" s="87">
        <f t="shared" si="1"/>
        <v>480.57999999999993</v>
      </c>
      <c r="F26" s="87">
        <f t="shared" si="1"/>
        <v>699.02000000000021</v>
      </c>
    </row>
    <row r="27" spans="1:6" ht="15" customHeight="1" x14ac:dyDescent="0.35">
      <c r="A27" s="86" t="s">
        <v>518</v>
      </c>
      <c r="B27" s="87">
        <v>1383.19</v>
      </c>
      <c r="C27" s="87">
        <v>1371.85</v>
      </c>
      <c r="D27" s="87">
        <v>1783.61</v>
      </c>
      <c r="E27" s="87">
        <f t="shared" si="1"/>
        <v>-11.340000000000146</v>
      </c>
      <c r="F27" s="87">
        <f t="shared" si="1"/>
        <v>411.76</v>
      </c>
    </row>
    <row r="28" spans="1:6" ht="15" customHeight="1" x14ac:dyDescent="0.35">
      <c r="A28" s="88" t="s">
        <v>264</v>
      </c>
      <c r="B28" s="89">
        <v>41065.54</v>
      </c>
      <c r="C28" s="89">
        <v>43893.279999999999</v>
      </c>
      <c r="D28" s="89">
        <v>50708.41</v>
      </c>
      <c r="E28" s="89">
        <f t="shared" si="1"/>
        <v>2827.739999999998</v>
      </c>
      <c r="F28" s="89">
        <f t="shared" si="1"/>
        <v>6815.1300000000047</v>
      </c>
    </row>
    <row r="29" spans="1:6" ht="15" customHeight="1" x14ac:dyDescent="0.35">
      <c r="A29" s="90" t="s">
        <v>519</v>
      </c>
      <c r="B29" s="91">
        <v>91826.16</v>
      </c>
      <c r="C29" s="91">
        <v>88090.68</v>
      </c>
      <c r="D29" s="91">
        <v>93792.38</v>
      </c>
      <c r="E29" s="91">
        <f t="shared" si="1"/>
        <v>-3735.4800000000105</v>
      </c>
      <c r="F29" s="91">
        <f t="shared" si="1"/>
        <v>5701.7000000000116</v>
      </c>
    </row>
    <row r="30" spans="1:6" ht="15.75" customHeight="1" x14ac:dyDescent="0.35">
      <c r="A30" s="159" t="s">
        <v>274</v>
      </c>
      <c r="B30" s="159"/>
      <c r="C30" s="159"/>
      <c r="D30" s="159"/>
      <c r="E30" s="159"/>
      <c r="F30" s="159"/>
    </row>
    <row r="31" spans="1:6" ht="15" customHeight="1" x14ac:dyDescent="0.35">
      <c r="A31" s="86" t="s">
        <v>520</v>
      </c>
      <c r="B31" s="87">
        <v>1248.47</v>
      </c>
      <c r="C31" s="87">
        <v>1251.4100000000001</v>
      </c>
      <c r="D31" s="87">
        <v>1252.95</v>
      </c>
      <c r="E31" s="87">
        <f t="shared" ref="E31:F35" si="2">C31-B31</f>
        <v>2.9400000000000546</v>
      </c>
      <c r="F31" s="87">
        <f t="shared" si="2"/>
        <v>1.5399999999999636</v>
      </c>
    </row>
    <row r="32" spans="1:6" ht="15" customHeight="1" x14ac:dyDescent="0.35">
      <c r="A32" s="86" t="s">
        <v>521</v>
      </c>
      <c r="B32" s="87">
        <v>73258.53</v>
      </c>
      <c r="C32" s="87">
        <v>68778.64</v>
      </c>
      <c r="D32" s="87">
        <v>71254.350000000006</v>
      </c>
      <c r="E32" s="87">
        <f t="shared" si="2"/>
        <v>-4479.8899999999994</v>
      </c>
      <c r="F32" s="87">
        <f t="shared" si="2"/>
        <v>2475.7100000000064</v>
      </c>
    </row>
    <row r="33" spans="1:6" ht="15" customHeight="1" x14ac:dyDescent="0.35">
      <c r="A33" s="88" t="s">
        <v>522</v>
      </c>
      <c r="B33" s="89">
        <v>74507</v>
      </c>
      <c r="C33" s="89">
        <v>70030.05</v>
      </c>
      <c r="D33" s="89">
        <v>72507.3</v>
      </c>
      <c r="E33" s="89">
        <f t="shared" si="2"/>
        <v>-4476.9499999999971</v>
      </c>
      <c r="F33" s="89">
        <f t="shared" si="2"/>
        <v>2477.25</v>
      </c>
    </row>
    <row r="34" spans="1:6" ht="15" customHeight="1" x14ac:dyDescent="0.35">
      <c r="A34" s="86" t="s">
        <v>523</v>
      </c>
      <c r="B34" s="87">
        <v>382.97</v>
      </c>
      <c r="C34" s="87">
        <v>367.89</v>
      </c>
      <c r="D34" s="87">
        <v>365.72</v>
      </c>
      <c r="E34" s="87">
        <f t="shared" si="2"/>
        <v>-15.080000000000041</v>
      </c>
      <c r="F34" s="87">
        <f t="shared" si="2"/>
        <v>-2.1699999999999591</v>
      </c>
    </row>
    <row r="35" spans="1:6" ht="15" customHeight="1" x14ac:dyDescent="0.35">
      <c r="A35" s="88" t="s">
        <v>524</v>
      </c>
      <c r="B35" s="89">
        <v>74889.97</v>
      </c>
      <c r="C35" s="89">
        <v>70397.94</v>
      </c>
      <c r="D35" s="89">
        <v>72873.02</v>
      </c>
      <c r="E35" s="89">
        <f t="shared" si="2"/>
        <v>-4492.0299999999988</v>
      </c>
      <c r="F35" s="89">
        <f t="shared" si="2"/>
        <v>2475.0800000000017</v>
      </c>
    </row>
    <row r="36" spans="1:6" ht="15.75" customHeight="1" x14ac:dyDescent="0.35">
      <c r="A36" s="159" t="s">
        <v>525</v>
      </c>
      <c r="B36" s="159"/>
      <c r="C36" s="159"/>
      <c r="D36" s="159"/>
      <c r="E36" s="159"/>
      <c r="F36" s="159"/>
    </row>
    <row r="37" spans="1:6" ht="15" customHeight="1" x14ac:dyDescent="0.35">
      <c r="A37" s="86" t="s">
        <v>526</v>
      </c>
      <c r="B37" s="87">
        <v>1.76</v>
      </c>
      <c r="C37" s="87">
        <v>0</v>
      </c>
      <c r="D37" s="87">
        <v>60</v>
      </c>
      <c r="E37" s="87">
        <f t="shared" ref="E37:F43" si="3">C37-B37</f>
        <v>-1.76</v>
      </c>
      <c r="F37" s="87">
        <f t="shared" si="3"/>
        <v>60</v>
      </c>
    </row>
    <row r="38" spans="1:6" ht="15" customHeight="1" x14ac:dyDescent="0.35">
      <c r="A38" s="86" t="s">
        <v>527</v>
      </c>
      <c r="B38" s="87">
        <v>230.61</v>
      </c>
      <c r="C38" s="87">
        <v>137.21</v>
      </c>
      <c r="D38" s="87">
        <v>140.86000000000001</v>
      </c>
      <c r="E38" s="87">
        <f t="shared" si="3"/>
        <v>-93.4</v>
      </c>
      <c r="F38" s="87">
        <f t="shared" si="3"/>
        <v>3.6500000000000057</v>
      </c>
    </row>
    <row r="39" spans="1:6" ht="15" customHeight="1" x14ac:dyDescent="0.35">
      <c r="A39" s="86" t="s">
        <v>528</v>
      </c>
      <c r="B39" s="87">
        <v>433.96</v>
      </c>
      <c r="C39" s="87">
        <v>301.33999999999997</v>
      </c>
      <c r="D39" s="87">
        <v>510.4</v>
      </c>
      <c r="E39" s="87">
        <f t="shared" si="3"/>
        <v>-132.62</v>
      </c>
      <c r="F39" s="87">
        <f t="shared" si="3"/>
        <v>209.06</v>
      </c>
    </row>
    <row r="40" spans="1:6" ht="15" customHeight="1" x14ac:dyDescent="0.35">
      <c r="A40" s="86" t="s">
        <v>529</v>
      </c>
      <c r="B40" s="87">
        <v>288.3</v>
      </c>
      <c r="C40" s="87">
        <v>303.11</v>
      </c>
      <c r="D40" s="87">
        <v>389.43</v>
      </c>
      <c r="E40" s="87">
        <f t="shared" si="3"/>
        <v>14.810000000000002</v>
      </c>
      <c r="F40" s="87">
        <f t="shared" si="3"/>
        <v>86.32</v>
      </c>
    </row>
    <row r="41" spans="1:6" ht="15" customHeight="1" x14ac:dyDescent="0.35">
      <c r="A41" s="86" t="s">
        <v>530</v>
      </c>
      <c r="B41" s="87">
        <v>2141.44</v>
      </c>
      <c r="C41" s="87">
        <v>2582.46</v>
      </c>
      <c r="D41" s="87">
        <v>3089.62</v>
      </c>
      <c r="E41" s="87">
        <f t="shared" si="3"/>
        <v>441.02</v>
      </c>
      <c r="F41" s="87">
        <f t="shared" si="3"/>
        <v>507.15999999999985</v>
      </c>
    </row>
    <row r="42" spans="1:6" ht="15" customHeight="1" x14ac:dyDescent="0.35">
      <c r="A42" s="86" t="s">
        <v>531</v>
      </c>
      <c r="B42" s="87">
        <v>149.72</v>
      </c>
      <c r="C42" s="87">
        <v>34.51</v>
      </c>
      <c r="D42" s="87">
        <v>41.78</v>
      </c>
      <c r="E42" s="87">
        <f t="shared" si="3"/>
        <v>-115.21000000000001</v>
      </c>
      <c r="F42" s="87">
        <f t="shared" si="3"/>
        <v>7.2700000000000031</v>
      </c>
    </row>
    <row r="43" spans="1:6" ht="15" customHeight="1" x14ac:dyDescent="0.35">
      <c r="A43" s="88" t="s">
        <v>532</v>
      </c>
      <c r="B43" s="89">
        <v>3245.79</v>
      </c>
      <c r="C43" s="89">
        <v>3358.63</v>
      </c>
      <c r="D43" s="89">
        <v>4232.09</v>
      </c>
      <c r="E43" s="89">
        <f t="shared" si="3"/>
        <v>112.84000000000015</v>
      </c>
      <c r="F43" s="89">
        <f t="shared" si="3"/>
        <v>873.46</v>
      </c>
    </row>
    <row r="44" spans="1:6" ht="15.75" customHeight="1" x14ac:dyDescent="0.35">
      <c r="A44" s="159" t="s">
        <v>533</v>
      </c>
      <c r="B44" s="159"/>
      <c r="C44" s="159"/>
      <c r="D44" s="159"/>
      <c r="E44" s="159"/>
      <c r="F44" s="159"/>
    </row>
    <row r="45" spans="1:6" ht="15" customHeight="1" x14ac:dyDescent="0.35">
      <c r="A45" s="86" t="s">
        <v>534</v>
      </c>
      <c r="B45" s="87">
        <v>9.52</v>
      </c>
      <c r="C45" s="87">
        <v>91.26</v>
      </c>
      <c r="D45" s="87">
        <v>2126.2199999999998</v>
      </c>
      <c r="E45" s="87">
        <f t="shared" ref="E45:F53" si="4">C45-B45</f>
        <v>81.740000000000009</v>
      </c>
      <c r="F45" s="87">
        <f t="shared" si="4"/>
        <v>2034.9599999999998</v>
      </c>
    </row>
    <row r="46" spans="1:6" ht="15" customHeight="1" x14ac:dyDescent="0.35">
      <c r="A46" s="86" t="s">
        <v>535</v>
      </c>
      <c r="B46" s="87">
        <v>61.54</v>
      </c>
      <c r="C46" s="87">
        <v>56.07</v>
      </c>
      <c r="D46" s="87">
        <v>71.98</v>
      </c>
      <c r="E46" s="87">
        <f t="shared" si="4"/>
        <v>-5.4699999999999989</v>
      </c>
      <c r="F46" s="87">
        <f t="shared" si="4"/>
        <v>15.910000000000004</v>
      </c>
    </row>
    <row r="47" spans="1:6" ht="15" customHeight="1" x14ac:dyDescent="0.35">
      <c r="A47" s="86" t="s">
        <v>536</v>
      </c>
      <c r="B47" s="87">
        <v>4797.83</v>
      </c>
      <c r="C47" s="87">
        <v>4807.3</v>
      </c>
      <c r="D47" s="87">
        <v>5639.55</v>
      </c>
      <c r="E47" s="87">
        <f t="shared" si="4"/>
        <v>9.4700000000002547</v>
      </c>
      <c r="F47" s="87">
        <f t="shared" si="4"/>
        <v>832.25</v>
      </c>
    </row>
    <row r="48" spans="1:6" ht="15" customHeight="1" x14ac:dyDescent="0.35">
      <c r="A48" s="86" t="s">
        <v>537</v>
      </c>
      <c r="B48" s="87">
        <v>2179</v>
      </c>
      <c r="C48" s="87">
        <v>1921.5</v>
      </c>
      <c r="D48" s="87">
        <v>2099.15</v>
      </c>
      <c r="E48" s="87">
        <f t="shared" si="4"/>
        <v>-257.5</v>
      </c>
      <c r="F48" s="87">
        <f t="shared" si="4"/>
        <v>177.65000000000009</v>
      </c>
    </row>
    <row r="49" spans="1:6" ht="15" customHeight="1" x14ac:dyDescent="0.35">
      <c r="A49" s="86" t="s">
        <v>538</v>
      </c>
      <c r="B49" s="87">
        <v>5594.72</v>
      </c>
      <c r="C49" s="87">
        <v>6148.27</v>
      </c>
      <c r="D49" s="87">
        <v>5037.6400000000003</v>
      </c>
      <c r="E49" s="87">
        <f t="shared" si="4"/>
        <v>553.55000000000018</v>
      </c>
      <c r="F49" s="87">
        <f t="shared" si="4"/>
        <v>-1110.6300000000001</v>
      </c>
    </row>
    <row r="50" spans="1:6" ht="15" customHeight="1" x14ac:dyDescent="0.35">
      <c r="A50" s="86" t="s">
        <v>539</v>
      </c>
      <c r="B50" s="87">
        <v>106.91</v>
      </c>
      <c r="C50" s="87">
        <v>80.06</v>
      </c>
      <c r="D50" s="87">
        <v>423.91</v>
      </c>
      <c r="E50" s="87">
        <f t="shared" si="4"/>
        <v>-26.849999999999994</v>
      </c>
      <c r="F50" s="87">
        <f t="shared" si="4"/>
        <v>343.85</v>
      </c>
    </row>
    <row r="51" spans="1:6" ht="15" customHeight="1" x14ac:dyDescent="0.35">
      <c r="A51" s="86" t="s">
        <v>540</v>
      </c>
      <c r="B51" s="87">
        <v>940.88</v>
      </c>
      <c r="C51" s="87">
        <v>1229.6500000000001</v>
      </c>
      <c r="D51" s="87">
        <v>1288.82</v>
      </c>
      <c r="E51" s="87">
        <f t="shared" si="4"/>
        <v>288.7700000000001</v>
      </c>
      <c r="F51" s="87">
        <f t="shared" si="4"/>
        <v>59.169999999999845</v>
      </c>
    </row>
    <row r="52" spans="1:6" ht="15" customHeight="1" x14ac:dyDescent="0.35">
      <c r="A52" s="88" t="s">
        <v>271</v>
      </c>
      <c r="B52" s="89">
        <v>13690.4</v>
      </c>
      <c r="C52" s="89">
        <v>14334.11</v>
      </c>
      <c r="D52" s="89">
        <v>16687.27</v>
      </c>
      <c r="E52" s="89">
        <f t="shared" si="4"/>
        <v>643.71000000000095</v>
      </c>
      <c r="F52" s="89">
        <f t="shared" si="4"/>
        <v>2353.16</v>
      </c>
    </row>
    <row r="53" spans="1:6" ht="15" customHeight="1" x14ac:dyDescent="0.35">
      <c r="A53" s="90" t="s">
        <v>541</v>
      </c>
      <c r="B53" s="91">
        <v>91826.16</v>
      </c>
      <c r="C53" s="91">
        <v>88090.68</v>
      </c>
      <c r="D53" s="91">
        <v>93792.38</v>
      </c>
      <c r="E53" s="91">
        <f t="shared" si="4"/>
        <v>-3735.4800000000105</v>
      </c>
      <c r="F53" s="91">
        <f t="shared" si="4"/>
        <v>5701.7000000000116</v>
      </c>
    </row>
    <row r="55" spans="1:6" x14ac:dyDescent="0.35">
      <c r="A55" s="92" t="s">
        <v>542</v>
      </c>
    </row>
  </sheetData>
  <mergeCells count="12">
    <mergeCell ref="A1:F1"/>
    <mergeCell ref="A2:A3"/>
    <mergeCell ref="B2:B3"/>
    <mergeCell ref="C2:C3"/>
    <mergeCell ref="D2:D3"/>
    <mergeCell ref="E2:E3"/>
    <mergeCell ref="F2:F3"/>
    <mergeCell ref="A4:F4"/>
    <mergeCell ref="A18:F18"/>
    <mergeCell ref="A30:F30"/>
    <mergeCell ref="A36:F36"/>
    <mergeCell ref="A44:F4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75B0-C9FC-49EA-A1A8-8C01F1C049D3}">
  <sheetPr>
    <tabColor rgb="FF2E74B5"/>
  </sheetPr>
  <dimension ref="A1:F30"/>
  <sheetViews>
    <sheetView zoomScaleNormal="100" workbookViewId="0">
      <pane xSplit="1" ySplit="3" topLeftCell="B4" activePane="bottomRight" state="frozen"/>
      <selection sqref="A1:F1"/>
      <selection pane="topRight" sqref="A1:F1"/>
      <selection pane="bottomLeft" sqref="A1:F1"/>
      <selection pane="bottomRight" sqref="A1:F1"/>
    </sheetView>
  </sheetViews>
  <sheetFormatPr defaultColWidth="8.6328125" defaultRowHeight="14.5" x14ac:dyDescent="0.35"/>
  <cols>
    <col min="1" max="1" width="44" customWidth="1"/>
    <col min="2" max="6" width="16" customWidth="1"/>
  </cols>
  <sheetData>
    <row r="1" spans="1:6" ht="30" customHeight="1" x14ac:dyDescent="0.35">
      <c r="A1" s="160" t="s">
        <v>543</v>
      </c>
      <c r="B1" s="160"/>
      <c r="C1" s="160"/>
      <c r="D1" s="160"/>
      <c r="E1" s="160"/>
      <c r="F1" s="160"/>
    </row>
    <row r="2" spans="1:6" ht="39.75" customHeight="1" x14ac:dyDescent="0.35">
      <c r="A2" s="161" t="s">
        <v>490</v>
      </c>
      <c r="B2" s="162" t="s">
        <v>491</v>
      </c>
      <c r="C2" s="162" t="s">
        <v>492</v>
      </c>
      <c r="D2" s="162" t="s">
        <v>493</v>
      </c>
      <c r="E2" s="162" t="s">
        <v>494</v>
      </c>
      <c r="F2" s="162" t="s">
        <v>495</v>
      </c>
    </row>
    <row r="3" spans="1:6" x14ac:dyDescent="0.35">
      <c r="A3" s="161"/>
      <c r="B3" s="162"/>
      <c r="C3" s="162"/>
      <c r="D3" s="162"/>
      <c r="E3" s="162"/>
      <c r="F3" s="162"/>
    </row>
    <row r="4" spans="1:6" ht="15.75" customHeight="1" x14ac:dyDescent="0.35">
      <c r="A4" s="159" t="s">
        <v>544</v>
      </c>
      <c r="B4" s="159"/>
      <c r="C4" s="159"/>
      <c r="D4" s="159"/>
      <c r="E4" s="159"/>
      <c r="F4" s="159"/>
    </row>
    <row r="5" spans="1:6" ht="15" customHeight="1" x14ac:dyDescent="0.35">
      <c r="A5" s="86" t="s">
        <v>545</v>
      </c>
      <c r="B5" s="87">
        <v>73891.429999999993</v>
      </c>
      <c r="C5" s="87">
        <v>81612.78</v>
      </c>
      <c r="D5" s="87">
        <v>89913.33</v>
      </c>
      <c r="E5" s="87">
        <f t="shared" ref="E5:F7" si="0">C5-B5</f>
        <v>7721.3500000000058</v>
      </c>
      <c r="F5" s="87">
        <f t="shared" si="0"/>
        <v>8300.5500000000029</v>
      </c>
    </row>
    <row r="6" spans="1:6" ht="15" customHeight="1" x14ac:dyDescent="0.35">
      <c r="A6" s="86" t="s">
        <v>185</v>
      </c>
      <c r="B6" s="87">
        <v>2693.22</v>
      </c>
      <c r="C6" s="87">
        <v>2529.69</v>
      </c>
      <c r="D6" s="87">
        <v>2425.8000000000002</v>
      </c>
      <c r="E6" s="87">
        <f t="shared" si="0"/>
        <v>-163.52999999999975</v>
      </c>
      <c r="F6" s="87">
        <f t="shared" si="0"/>
        <v>-103.88999999999987</v>
      </c>
    </row>
    <row r="7" spans="1:6" ht="15" customHeight="1" x14ac:dyDescent="0.35">
      <c r="A7" s="88" t="s">
        <v>546</v>
      </c>
      <c r="B7" s="89">
        <v>76584.649999999994</v>
      </c>
      <c r="C7" s="89">
        <v>84142.47</v>
      </c>
      <c r="D7" s="89">
        <v>92339.13</v>
      </c>
      <c r="E7" s="89">
        <f t="shared" si="0"/>
        <v>7557.820000000007</v>
      </c>
      <c r="F7" s="89">
        <f t="shared" si="0"/>
        <v>8196.6600000000035</v>
      </c>
    </row>
    <row r="8" spans="1:6" ht="15.75" customHeight="1" x14ac:dyDescent="0.35">
      <c r="A8" s="159" t="s">
        <v>547</v>
      </c>
      <c r="B8" s="159"/>
      <c r="C8" s="159"/>
      <c r="D8" s="159"/>
      <c r="E8" s="159"/>
      <c r="F8" s="159"/>
    </row>
    <row r="9" spans="1:6" ht="15" customHeight="1" x14ac:dyDescent="0.35">
      <c r="A9" s="86" t="s">
        <v>548</v>
      </c>
      <c r="B9" s="87">
        <v>21288.44</v>
      </c>
      <c r="C9" s="87">
        <v>23757.33</v>
      </c>
      <c r="D9" s="87">
        <v>26272.33</v>
      </c>
      <c r="E9" s="87">
        <f t="shared" ref="E9:F28" si="1">C9-B9</f>
        <v>2468.8900000000031</v>
      </c>
      <c r="F9" s="87">
        <f t="shared" si="1"/>
        <v>2515</v>
      </c>
    </row>
    <row r="10" spans="1:6" ht="15" customHeight="1" x14ac:dyDescent="0.35">
      <c r="A10" s="86" t="s">
        <v>549</v>
      </c>
      <c r="B10" s="87">
        <v>6060.13</v>
      </c>
      <c r="C10" s="87">
        <v>8947.0400000000009</v>
      </c>
      <c r="D10" s="87">
        <v>8826.01</v>
      </c>
      <c r="E10" s="87">
        <f t="shared" si="1"/>
        <v>2886.9100000000008</v>
      </c>
      <c r="F10" s="87">
        <f t="shared" si="1"/>
        <v>-121.03000000000065</v>
      </c>
    </row>
    <row r="11" spans="1:6" ht="15" customHeight="1" x14ac:dyDescent="0.35">
      <c r="A11" s="86" t="s">
        <v>550</v>
      </c>
      <c r="B11" s="87">
        <v>-367.77</v>
      </c>
      <c r="C11" s="87">
        <v>-725.65</v>
      </c>
      <c r="D11" s="87">
        <v>-2550.46</v>
      </c>
      <c r="E11" s="87">
        <f t="shared" si="1"/>
        <v>-357.88</v>
      </c>
      <c r="F11" s="87">
        <f t="shared" si="1"/>
        <v>-1824.81</v>
      </c>
    </row>
    <row r="12" spans="1:6" ht="15" customHeight="1" x14ac:dyDescent="0.35">
      <c r="A12" s="86" t="s">
        <v>551</v>
      </c>
      <c r="B12" s="87">
        <v>5959.49</v>
      </c>
      <c r="C12" s="87">
        <v>6289.44</v>
      </c>
      <c r="D12" s="87">
        <v>11044.93</v>
      </c>
      <c r="E12" s="87">
        <f t="shared" si="1"/>
        <v>329.94999999999982</v>
      </c>
      <c r="F12" s="87">
        <f t="shared" si="1"/>
        <v>4755.4900000000007</v>
      </c>
    </row>
    <row r="13" spans="1:6" ht="15" customHeight="1" x14ac:dyDescent="0.35">
      <c r="A13" s="86" t="s">
        <v>552</v>
      </c>
      <c r="B13" s="87">
        <v>5548.53</v>
      </c>
      <c r="C13" s="87">
        <v>6169.78</v>
      </c>
      <c r="D13" s="87">
        <v>6781.5</v>
      </c>
      <c r="E13" s="87">
        <f t="shared" si="1"/>
        <v>621.25</v>
      </c>
      <c r="F13" s="87">
        <f t="shared" si="1"/>
        <v>611.72000000000025</v>
      </c>
    </row>
    <row r="14" spans="1:6" ht="15" customHeight="1" x14ac:dyDescent="0.35">
      <c r="A14" s="86" t="s">
        <v>553</v>
      </c>
      <c r="B14" s="87">
        <v>39.11</v>
      </c>
      <c r="C14" s="87">
        <v>45.06</v>
      </c>
      <c r="D14" s="87">
        <v>85.17</v>
      </c>
      <c r="E14" s="87">
        <f t="shared" si="1"/>
        <v>5.9500000000000028</v>
      </c>
      <c r="F14" s="87">
        <f t="shared" si="1"/>
        <v>40.11</v>
      </c>
    </row>
    <row r="15" spans="1:6" ht="15" customHeight="1" x14ac:dyDescent="0.35">
      <c r="A15" s="86" t="s">
        <v>554</v>
      </c>
      <c r="B15" s="87">
        <v>1518.05</v>
      </c>
      <c r="C15" s="87">
        <v>1646.32</v>
      </c>
      <c r="D15" s="87">
        <v>1710.53</v>
      </c>
      <c r="E15" s="87">
        <f t="shared" si="1"/>
        <v>128.26999999999998</v>
      </c>
      <c r="F15" s="87">
        <f t="shared" si="1"/>
        <v>64.210000000000036</v>
      </c>
    </row>
    <row r="16" spans="1:6" ht="15" customHeight="1" x14ac:dyDescent="0.35">
      <c r="A16" s="86" t="s">
        <v>555</v>
      </c>
      <c r="B16" s="87">
        <v>10152.82</v>
      </c>
      <c r="C16" s="87">
        <v>11196.63</v>
      </c>
      <c r="D16" s="87">
        <v>12221.11</v>
      </c>
      <c r="E16" s="87">
        <f t="shared" si="1"/>
        <v>1043.8099999999995</v>
      </c>
      <c r="F16" s="87">
        <f t="shared" si="1"/>
        <v>1024.4800000000014</v>
      </c>
    </row>
    <row r="17" spans="1:6" ht="15" customHeight="1" x14ac:dyDescent="0.35">
      <c r="A17" s="88" t="s">
        <v>556</v>
      </c>
      <c r="B17" s="89">
        <v>50198.8</v>
      </c>
      <c r="C17" s="89">
        <v>57325.95</v>
      </c>
      <c r="D17" s="89">
        <v>64391.12</v>
      </c>
      <c r="E17" s="89">
        <f t="shared" si="1"/>
        <v>7127.1499999999942</v>
      </c>
      <c r="F17" s="89">
        <f t="shared" si="1"/>
        <v>7065.1700000000055</v>
      </c>
    </row>
    <row r="18" spans="1:6" ht="15" customHeight="1" x14ac:dyDescent="0.35">
      <c r="A18" s="86" t="s">
        <v>557</v>
      </c>
      <c r="B18" s="87">
        <v>14.43</v>
      </c>
      <c r="C18" s="87">
        <v>110.42</v>
      </c>
      <c r="D18" s="87">
        <v>377.08</v>
      </c>
      <c r="E18" s="87">
        <f t="shared" si="1"/>
        <v>95.990000000000009</v>
      </c>
      <c r="F18" s="87">
        <f t="shared" si="1"/>
        <v>266.65999999999997</v>
      </c>
    </row>
    <row r="19" spans="1:6" ht="15" customHeight="1" x14ac:dyDescent="0.35">
      <c r="A19" s="88" t="s">
        <v>558</v>
      </c>
      <c r="B19" s="89">
        <v>26400.28</v>
      </c>
      <c r="C19" s="89">
        <v>26926.94</v>
      </c>
      <c r="D19" s="89">
        <v>28325.09</v>
      </c>
      <c r="E19" s="89">
        <f t="shared" si="1"/>
        <v>526.65999999999985</v>
      </c>
      <c r="F19" s="89">
        <f t="shared" si="1"/>
        <v>1398.1500000000015</v>
      </c>
    </row>
    <row r="20" spans="1:6" ht="15" customHeight="1" x14ac:dyDescent="0.35">
      <c r="A20" s="86" t="s">
        <v>559</v>
      </c>
      <c r="B20" s="87">
        <v>0</v>
      </c>
      <c r="C20" s="87">
        <v>0</v>
      </c>
      <c r="D20" s="87">
        <v>-291.7</v>
      </c>
      <c r="E20" s="87">
        <f t="shared" si="1"/>
        <v>0</v>
      </c>
      <c r="F20" s="87">
        <f t="shared" si="1"/>
        <v>-291.7</v>
      </c>
    </row>
    <row r="21" spans="1:6" ht="15" customHeight="1" x14ac:dyDescent="0.35">
      <c r="A21" s="88" t="s">
        <v>560</v>
      </c>
      <c r="B21" s="89">
        <v>26400.28</v>
      </c>
      <c r="C21" s="89">
        <v>26926.94</v>
      </c>
      <c r="D21" s="89">
        <v>28033.39</v>
      </c>
      <c r="E21" s="89">
        <f t="shared" si="1"/>
        <v>526.65999999999985</v>
      </c>
      <c r="F21" s="89">
        <f t="shared" si="1"/>
        <v>1106.4500000000007</v>
      </c>
    </row>
    <row r="22" spans="1:6" ht="15" customHeight="1" x14ac:dyDescent="0.35">
      <c r="A22" s="86" t="s">
        <v>239</v>
      </c>
      <c r="B22" s="87">
        <v>6017.21</v>
      </c>
      <c r="C22" s="87">
        <v>6509.61</v>
      </c>
      <c r="D22" s="87">
        <v>6412.97</v>
      </c>
      <c r="E22" s="87">
        <f t="shared" si="1"/>
        <v>492.39999999999964</v>
      </c>
      <c r="F22" s="87">
        <f t="shared" si="1"/>
        <v>-96.639999999999418</v>
      </c>
    </row>
    <row r="23" spans="1:6" ht="15" customHeight="1" x14ac:dyDescent="0.35">
      <c r="A23" s="86" t="s">
        <v>240</v>
      </c>
      <c r="B23" s="87">
        <v>192.25</v>
      </c>
      <c r="C23" s="87">
        <v>380.86</v>
      </c>
      <c r="D23" s="87">
        <v>602.27</v>
      </c>
      <c r="E23" s="87">
        <f t="shared" si="1"/>
        <v>188.61</v>
      </c>
      <c r="F23" s="87">
        <f t="shared" si="1"/>
        <v>221.40999999999997</v>
      </c>
    </row>
    <row r="24" spans="1:6" ht="15" customHeight="1" x14ac:dyDescent="0.35">
      <c r="A24" s="88" t="s">
        <v>561</v>
      </c>
      <c r="B24" s="89">
        <v>20190.82</v>
      </c>
      <c r="C24" s="89">
        <v>20036.47</v>
      </c>
      <c r="D24" s="89">
        <v>21018.15</v>
      </c>
      <c r="E24" s="89">
        <f t="shared" si="1"/>
        <v>-154.34999999999854</v>
      </c>
      <c r="F24" s="89">
        <f t="shared" si="1"/>
        <v>981.68000000000029</v>
      </c>
    </row>
    <row r="25" spans="1:6" ht="15" customHeight="1" x14ac:dyDescent="0.35">
      <c r="A25" s="86" t="s">
        <v>562</v>
      </c>
      <c r="B25" s="87">
        <v>560.54</v>
      </c>
      <c r="C25" s="87">
        <v>15016.01</v>
      </c>
      <c r="D25" s="87">
        <v>0</v>
      </c>
      <c r="E25" s="87">
        <f t="shared" si="1"/>
        <v>14455.470000000001</v>
      </c>
      <c r="F25" s="87">
        <f t="shared" si="1"/>
        <v>-15016.01</v>
      </c>
    </row>
    <row r="26" spans="1:6" ht="15" customHeight="1" x14ac:dyDescent="0.35">
      <c r="A26" s="90" t="s">
        <v>563</v>
      </c>
      <c r="B26" s="91">
        <v>20751.36</v>
      </c>
      <c r="C26" s="91">
        <v>35052.480000000003</v>
      </c>
      <c r="D26" s="91">
        <v>21018.15</v>
      </c>
      <c r="E26" s="91">
        <f t="shared" si="1"/>
        <v>14301.120000000003</v>
      </c>
      <c r="F26" s="91">
        <f t="shared" si="1"/>
        <v>-14034.330000000002</v>
      </c>
    </row>
    <row r="27" spans="1:6" ht="15" customHeight="1" x14ac:dyDescent="0.35">
      <c r="A27" s="86" t="s">
        <v>564</v>
      </c>
      <c r="B27" s="87">
        <v>2955.66</v>
      </c>
      <c r="C27" s="87">
        <v>-624.86</v>
      </c>
      <c r="D27" s="87">
        <v>-643.29</v>
      </c>
      <c r="E27" s="87">
        <f t="shared" si="1"/>
        <v>-3580.52</v>
      </c>
      <c r="F27" s="87">
        <f t="shared" si="1"/>
        <v>-18.42999999999995</v>
      </c>
    </row>
    <row r="28" spans="1:6" ht="15" customHeight="1" x14ac:dyDescent="0.35">
      <c r="A28" s="90" t="s">
        <v>565</v>
      </c>
      <c r="B28" s="91">
        <v>23707.02</v>
      </c>
      <c r="C28" s="91">
        <v>34427.620000000003</v>
      </c>
      <c r="D28" s="91">
        <v>20374.86</v>
      </c>
      <c r="E28" s="91">
        <f t="shared" si="1"/>
        <v>10720.600000000002</v>
      </c>
      <c r="F28" s="91">
        <f t="shared" si="1"/>
        <v>-14052.760000000002</v>
      </c>
    </row>
    <row r="30" spans="1:6" x14ac:dyDescent="0.35">
      <c r="A30" s="92" t="s">
        <v>542</v>
      </c>
    </row>
  </sheetData>
  <mergeCells count="9">
    <mergeCell ref="A4:F4"/>
    <mergeCell ref="A8:F8"/>
    <mergeCell ref="A1:F1"/>
    <mergeCell ref="A2:A3"/>
    <mergeCell ref="B2:B3"/>
    <mergeCell ref="C2:C3"/>
    <mergeCell ref="D2:D3"/>
    <mergeCell ref="E2:E3"/>
    <mergeCell ref="F2:F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15D2-2083-4213-8295-36518742D258}">
  <sheetPr>
    <tabColor rgb="FF375623"/>
  </sheetPr>
  <dimension ref="A1:G55"/>
  <sheetViews>
    <sheetView zoomScaleNormal="100" workbookViewId="0">
      <pane xSplit="1" ySplit="3" topLeftCell="B4" activePane="bottomRight" state="frozen"/>
      <selection sqref="A1:F1"/>
      <selection pane="topRight" sqref="A1:F1"/>
      <selection pane="bottomLeft" sqref="A1:F1"/>
      <selection pane="bottomRight" sqref="A1:G1"/>
    </sheetView>
  </sheetViews>
  <sheetFormatPr defaultColWidth="8.6328125" defaultRowHeight="14.5" x14ac:dyDescent="0.35"/>
  <cols>
    <col min="1" max="1" width="40" customWidth="1"/>
    <col min="2" max="7" width="14" customWidth="1"/>
  </cols>
  <sheetData>
    <row r="1" spans="1:7" ht="30" customHeight="1" x14ac:dyDescent="0.35">
      <c r="A1" s="160" t="s">
        <v>566</v>
      </c>
      <c r="B1" s="160"/>
      <c r="C1" s="160"/>
      <c r="D1" s="160"/>
      <c r="E1" s="160"/>
      <c r="F1" s="160"/>
      <c r="G1" s="160"/>
    </row>
    <row r="2" spans="1:7" ht="39.75" customHeight="1" x14ac:dyDescent="0.35">
      <c r="A2" s="161" t="s">
        <v>490</v>
      </c>
      <c r="B2" s="162" t="s">
        <v>491</v>
      </c>
      <c r="C2" s="162" t="s">
        <v>567</v>
      </c>
      <c r="D2" s="162" t="s">
        <v>492</v>
      </c>
      <c r="E2" s="162" t="s">
        <v>568</v>
      </c>
      <c r="F2" s="162" t="s">
        <v>493</v>
      </c>
      <c r="G2" s="162" t="s">
        <v>569</v>
      </c>
    </row>
    <row r="3" spans="1:7" x14ac:dyDescent="0.35">
      <c r="A3" s="161"/>
      <c r="B3" s="162"/>
      <c r="C3" s="162"/>
      <c r="D3" s="162"/>
      <c r="E3" s="162"/>
      <c r="F3" s="162"/>
      <c r="G3" s="162"/>
    </row>
    <row r="4" spans="1:7" ht="15.75" customHeight="1" x14ac:dyDescent="0.35">
      <c r="A4" s="159" t="s">
        <v>496</v>
      </c>
      <c r="B4" s="159"/>
      <c r="C4" s="159"/>
      <c r="D4" s="159"/>
      <c r="E4" s="159"/>
      <c r="F4" s="159"/>
      <c r="G4" s="159"/>
    </row>
    <row r="5" spans="1:7" ht="15" customHeight="1" x14ac:dyDescent="0.35">
      <c r="A5" s="86" t="s">
        <v>497</v>
      </c>
      <c r="B5" s="87">
        <v>23082.33</v>
      </c>
      <c r="C5" s="93">
        <f>B5/B29</f>
        <v>0.25136987106942077</v>
      </c>
      <c r="D5" s="87">
        <v>17428.89</v>
      </c>
      <c r="E5" s="93">
        <f>D5/D29</f>
        <v>0.19785169100749364</v>
      </c>
      <c r="F5" s="87">
        <v>17471.2</v>
      </c>
      <c r="G5" s="93">
        <f>F5/F29</f>
        <v>0.18627526031432404</v>
      </c>
    </row>
    <row r="6" spans="1:7" ht="15" customHeight="1" x14ac:dyDescent="0.35">
      <c r="A6" s="86" t="s">
        <v>498</v>
      </c>
      <c r="B6" s="87">
        <v>2851.14</v>
      </c>
      <c r="C6" s="93">
        <f>B6/B29</f>
        <v>3.1049321892584855E-2</v>
      </c>
      <c r="D6" s="87">
        <v>1087.5999999999999</v>
      </c>
      <c r="E6" s="93">
        <f>D6/D29</f>
        <v>1.2346368537511573E-2</v>
      </c>
      <c r="F6" s="87">
        <v>1499.41</v>
      </c>
      <c r="G6" s="93">
        <f>F6/F29</f>
        <v>1.5986479925128246E-2</v>
      </c>
    </row>
    <row r="7" spans="1:7" ht="15" customHeight="1" x14ac:dyDescent="0.35">
      <c r="A7" s="86" t="s">
        <v>499</v>
      </c>
      <c r="B7" s="87">
        <v>340.93</v>
      </c>
      <c r="C7" s="93">
        <f>B7/B29</f>
        <v>3.7127764027157402E-3</v>
      </c>
      <c r="D7" s="87">
        <v>322.39999999999998</v>
      </c>
      <c r="E7" s="93">
        <f>D7/D29</f>
        <v>3.6598650390711027E-3</v>
      </c>
      <c r="F7" s="87">
        <v>303.36</v>
      </c>
      <c r="G7" s="93">
        <f>F7/F29</f>
        <v>3.2343778886941561E-3</v>
      </c>
    </row>
    <row r="8" spans="1:7" ht="15" customHeight="1" x14ac:dyDescent="0.35">
      <c r="A8" s="86" t="s">
        <v>500</v>
      </c>
      <c r="B8" s="87">
        <v>779.73</v>
      </c>
      <c r="C8" s="93">
        <f>B8/B29</f>
        <v>8.4913710864093633E-3</v>
      </c>
      <c r="D8" s="87">
        <v>896.93</v>
      </c>
      <c r="E8" s="93">
        <f>D8/D29</f>
        <v>1.0181894384286738E-2</v>
      </c>
      <c r="F8" s="87">
        <v>993.29</v>
      </c>
      <c r="G8" s="93">
        <f>F8/F29</f>
        <v>1.0590305950227513E-2</v>
      </c>
    </row>
    <row r="9" spans="1:7" ht="15" customHeight="1" x14ac:dyDescent="0.35">
      <c r="A9" s="86" t="s">
        <v>501</v>
      </c>
      <c r="B9" s="87">
        <v>2678.11</v>
      </c>
      <c r="C9" s="93">
        <f>B9/B29</f>
        <v>2.9165000474810229E-2</v>
      </c>
      <c r="D9" s="87">
        <v>2724.74</v>
      </c>
      <c r="E9" s="93">
        <f>D9/D29</f>
        <v>3.0931081471955942E-2</v>
      </c>
      <c r="F9" s="87">
        <v>3173.66</v>
      </c>
      <c r="G9" s="93">
        <f>F9/F29</f>
        <v>3.3837077169808459E-2</v>
      </c>
    </row>
    <row r="10" spans="1:7" ht="15" customHeight="1" x14ac:dyDescent="0.35">
      <c r="A10" s="86" t="s">
        <v>502</v>
      </c>
      <c r="B10" s="87">
        <v>9.64</v>
      </c>
      <c r="C10" s="93">
        <f>B10/B29</f>
        <v>1.049809770984652E-4</v>
      </c>
      <c r="D10" s="87">
        <v>3.31</v>
      </c>
      <c r="E10" s="93">
        <f>D10/D29</f>
        <v>3.7574917119495503E-5</v>
      </c>
      <c r="F10" s="87">
        <v>102.47</v>
      </c>
      <c r="G10" s="93">
        <f>F10/F29</f>
        <v>1.0925194562713943E-3</v>
      </c>
    </row>
    <row r="11" spans="1:7" ht="15" customHeight="1" x14ac:dyDescent="0.35">
      <c r="A11" s="86" t="s">
        <v>503</v>
      </c>
      <c r="B11" s="87">
        <v>939.12</v>
      </c>
      <c r="C11" s="93">
        <f>B11/B29</f>
        <v>1.0227150955675376E-2</v>
      </c>
      <c r="D11" s="87">
        <v>581.89</v>
      </c>
      <c r="E11" s="93">
        <f>D11/D29</f>
        <v>6.605579614097655E-3</v>
      </c>
      <c r="F11" s="87">
        <v>501.02</v>
      </c>
      <c r="G11" s="93">
        <f>F11/F29</f>
        <v>5.3417985554903282E-3</v>
      </c>
    </row>
    <row r="12" spans="1:7" ht="15" customHeight="1" x14ac:dyDescent="0.35">
      <c r="A12" s="86" t="s">
        <v>504</v>
      </c>
      <c r="B12" s="87">
        <v>549.73</v>
      </c>
      <c r="C12" s="93">
        <f>B12/B29</f>
        <v>5.9866382303256499E-3</v>
      </c>
      <c r="D12" s="87">
        <v>4711.78</v>
      </c>
      <c r="E12" s="93">
        <f>D12/D29</f>
        <v>5.3487837759908313E-2</v>
      </c>
      <c r="F12" s="87">
        <v>5288.24</v>
      </c>
      <c r="G12" s="93">
        <f>F12/F29</f>
        <v>5.6382405478995194E-2</v>
      </c>
    </row>
    <row r="13" spans="1:7" ht="15" customHeight="1" x14ac:dyDescent="0.35">
      <c r="A13" s="86" t="s">
        <v>505</v>
      </c>
      <c r="B13" s="87">
        <v>18032.91</v>
      </c>
      <c r="C13" s="93">
        <f>B13/B29</f>
        <v>0.19638096594695889</v>
      </c>
      <c r="D13" s="87">
        <v>15285.71</v>
      </c>
      <c r="E13" s="93">
        <f>D13/D29</f>
        <v>0.17352244300986211</v>
      </c>
      <c r="F13" s="87">
        <v>12437.64</v>
      </c>
      <c r="G13" s="93">
        <f>F13/F29</f>
        <v>0.1326082140148272</v>
      </c>
    </row>
    <row r="14" spans="1:7" ht="15" customHeight="1" x14ac:dyDescent="0.35">
      <c r="A14" s="86" t="s">
        <v>506</v>
      </c>
      <c r="B14" s="87">
        <v>72.19</v>
      </c>
      <c r="C14" s="93">
        <f>B14/B29</f>
        <v>7.8615941252470963E-4</v>
      </c>
      <c r="D14" s="87">
        <v>87.98</v>
      </c>
      <c r="E14" s="93">
        <f>D14/D29</f>
        <v>9.9874356742393191E-4</v>
      </c>
      <c r="F14" s="87">
        <v>155.18</v>
      </c>
      <c r="G14" s="93">
        <f>F14/F29</f>
        <v>1.6545054086483358E-3</v>
      </c>
    </row>
    <row r="15" spans="1:7" ht="15" customHeight="1" x14ac:dyDescent="0.35">
      <c r="A15" s="86" t="s">
        <v>507</v>
      </c>
      <c r="B15" s="87">
        <v>44.93</v>
      </c>
      <c r="C15" s="93">
        <f>B15/B29</f>
        <v>4.8929411836452709E-4</v>
      </c>
      <c r="D15" s="87">
        <v>50.24</v>
      </c>
      <c r="E15" s="93">
        <f>D15/D29</f>
        <v>5.7032140062944232E-4</v>
      </c>
      <c r="F15" s="87">
        <v>70.05</v>
      </c>
      <c r="G15" s="93">
        <f>F15/F29</f>
        <v>7.4686237837231551E-4</v>
      </c>
    </row>
    <row r="16" spans="1:7" ht="15" customHeight="1" x14ac:dyDescent="0.35">
      <c r="A16" s="86" t="s">
        <v>508</v>
      </c>
      <c r="B16" s="87">
        <v>1379.86</v>
      </c>
      <c r="C16" s="93">
        <f>B16/B29</f>
        <v>1.502687251650292E-2</v>
      </c>
      <c r="D16" s="87">
        <v>1015.93</v>
      </c>
      <c r="E16" s="93">
        <f>D16/D29</f>
        <v>1.1532775090395488E-2</v>
      </c>
      <c r="F16" s="87">
        <v>1088.45</v>
      </c>
      <c r="G16" s="93">
        <f>F16/F29</f>
        <v>1.1604887305343994E-2</v>
      </c>
    </row>
    <row r="17" spans="1:7" ht="15" customHeight="1" x14ac:dyDescent="0.35">
      <c r="A17" s="88" t="s">
        <v>509</v>
      </c>
      <c r="B17" s="89">
        <v>50760.62</v>
      </c>
      <c r="C17" s="94">
        <f>B17/B29</f>
        <v>0.55279040308339145</v>
      </c>
      <c r="D17" s="89">
        <v>44197.4</v>
      </c>
      <c r="E17" s="94">
        <f>D17/D29</f>
        <v>0.50172617579975554</v>
      </c>
      <c r="F17" s="89">
        <v>43083.97</v>
      </c>
      <c r="G17" s="94">
        <f>F17/F29</f>
        <v>0.4593546938461312</v>
      </c>
    </row>
    <row r="18" spans="1:7" ht="15.75" customHeight="1" x14ac:dyDescent="0.35">
      <c r="A18" s="159" t="s">
        <v>510</v>
      </c>
      <c r="B18" s="159"/>
      <c r="C18" s="159"/>
      <c r="D18" s="159"/>
      <c r="E18" s="159"/>
      <c r="F18" s="159"/>
      <c r="G18" s="159"/>
    </row>
    <row r="19" spans="1:7" ht="15" customHeight="1" x14ac:dyDescent="0.35">
      <c r="A19" s="86" t="s">
        <v>263</v>
      </c>
      <c r="B19" s="87">
        <v>14152.88</v>
      </c>
      <c r="C19" s="93">
        <f>B19/B29</f>
        <v>0.15412688497482632</v>
      </c>
      <c r="D19" s="87">
        <v>15637.56</v>
      </c>
      <c r="E19" s="93">
        <f>D19/D29</f>
        <v>0.17751662264384838</v>
      </c>
      <c r="F19" s="87">
        <v>18622.96</v>
      </c>
      <c r="G19" s="93">
        <f>F19/F29</f>
        <v>0.19855514914964306</v>
      </c>
    </row>
    <row r="20" spans="1:7" ht="15" customHeight="1" x14ac:dyDescent="0.35">
      <c r="A20" s="86" t="s">
        <v>511</v>
      </c>
      <c r="B20" s="87">
        <v>150</v>
      </c>
      <c r="C20" s="93">
        <f>B20/B29</f>
        <v>1.6335214278806822E-3</v>
      </c>
      <c r="D20" s="87">
        <v>198.58</v>
      </c>
      <c r="E20" s="93">
        <f>D20/D29</f>
        <v>2.2542679883955944E-3</v>
      </c>
      <c r="F20" s="87">
        <v>249.69</v>
      </c>
      <c r="G20" s="93">
        <f>F20/F29</f>
        <v>2.6621565632517267E-3</v>
      </c>
    </row>
    <row r="21" spans="1:7" ht="15" customHeight="1" x14ac:dyDescent="0.35">
      <c r="A21" s="86" t="s">
        <v>512</v>
      </c>
      <c r="B21" s="87">
        <v>12944.42</v>
      </c>
      <c r="C21" s="93">
        <f>B21/B29</f>
        <v>0.1409665829432484</v>
      </c>
      <c r="D21" s="87">
        <v>16287.5</v>
      </c>
      <c r="E21" s="93">
        <f>D21/D29</f>
        <v>0.18489470168694352</v>
      </c>
      <c r="F21" s="87">
        <v>20750.64</v>
      </c>
      <c r="G21" s="93">
        <f>F21/F29</f>
        <v>0.22124014765378594</v>
      </c>
    </row>
    <row r="22" spans="1:7" ht="15" customHeight="1" x14ac:dyDescent="0.35">
      <c r="A22" s="86" t="s">
        <v>513</v>
      </c>
      <c r="B22" s="87">
        <v>4025.82</v>
      </c>
      <c r="C22" s="93">
        <f>B22/B29</f>
        <v>4.3841754898604056E-2</v>
      </c>
      <c r="D22" s="87">
        <v>4719.67</v>
      </c>
      <c r="E22" s="93">
        <f>D22/D29</f>
        <v>5.3577404556304942E-2</v>
      </c>
      <c r="F22" s="87">
        <v>3922.86</v>
      </c>
      <c r="G22" s="93">
        <f>F22/F29</f>
        <v>4.182493289966626E-2</v>
      </c>
    </row>
    <row r="23" spans="1:7" ht="15" customHeight="1" x14ac:dyDescent="0.35">
      <c r="A23" s="86" t="s">
        <v>514</v>
      </c>
      <c r="B23" s="87">
        <v>625.89</v>
      </c>
      <c r="C23" s="93">
        <f>B23/B29</f>
        <v>6.8160315099749349E-3</v>
      </c>
      <c r="D23" s="87">
        <v>620</v>
      </c>
      <c r="E23" s="93">
        <f>D23/D29</f>
        <v>7.0382019982136593E-3</v>
      </c>
      <c r="F23" s="87">
        <v>643.46</v>
      </c>
      <c r="G23" s="93">
        <f>F23/F29</f>
        <v>6.8604720340820864E-3</v>
      </c>
    </row>
    <row r="24" spans="1:7" ht="15" customHeight="1" x14ac:dyDescent="0.35">
      <c r="A24" s="86" t="s">
        <v>515</v>
      </c>
      <c r="B24" s="87">
        <v>6591.79</v>
      </c>
      <c r="C24" s="93">
        <f>B24/B29</f>
        <v>7.178553475393068E-2</v>
      </c>
      <c r="D24" s="87">
        <v>3392.36</v>
      </c>
      <c r="E24" s="93">
        <f>D24/D29</f>
        <v>3.8509862791387246E-2</v>
      </c>
      <c r="F24" s="87">
        <v>2365.33</v>
      </c>
      <c r="G24" s="93">
        <f>F24/F29</f>
        <v>2.5218786430198273E-2</v>
      </c>
    </row>
    <row r="25" spans="1:7" ht="15" customHeight="1" x14ac:dyDescent="0.35">
      <c r="A25" s="86" t="s">
        <v>516</v>
      </c>
      <c r="B25" s="87">
        <v>9.81</v>
      </c>
      <c r="C25" s="93">
        <f>B25/B29</f>
        <v>1.0683230138339663E-4</v>
      </c>
      <c r="D25" s="87">
        <v>9.51</v>
      </c>
      <c r="E25" s="93">
        <f>D25/D29</f>
        <v>1.079569371016321E-4</v>
      </c>
      <c r="F25" s="87">
        <v>8.52</v>
      </c>
      <c r="G25" s="93">
        <f>F25/F29</f>
        <v>9.0838935956204535E-5</v>
      </c>
    </row>
    <row r="26" spans="1:7" ht="15" customHeight="1" x14ac:dyDescent="0.35">
      <c r="A26" s="86" t="s">
        <v>517</v>
      </c>
      <c r="B26" s="87">
        <v>1181.74</v>
      </c>
      <c r="C26" s="93">
        <f>B26/B29</f>
        <v>1.2869317414558117E-2</v>
      </c>
      <c r="D26" s="87">
        <v>1662.32</v>
      </c>
      <c r="E26" s="93">
        <f>D26/D29</f>
        <v>1.88705547510815E-2</v>
      </c>
      <c r="F26" s="87">
        <v>2361.34</v>
      </c>
      <c r="G26" s="93">
        <f>F26/F29</f>
        <v>2.5176245660894842E-2</v>
      </c>
    </row>
    <row r="27" spans="1:7" ht="15" customHeight="1" x14ac:dyDescent="0.35">
      <c r="A27" s="86" t="s">
        <v>518</v>
      </c>
      <c r="B27" s="87">
        <v>1383.19</v>
      </c>
      <c r="C27" s="93">
        <f>B27/B29</f>
        <v>1.5063136692201873E-2</v>
      </c>
      <c r="D27" s="87">
        <v>1371.85</v>
      </c>
      <c r="E27" s="93">
        <f>D27/D29</f>
        <v>1.55731571149184E-2</v>
      </c>
      <c r="F27" s="87">
        <v>1783.61</v>
      </c>
      <c r="G27" s="93">
        <f>F27/F29</f>
        <v>1.9016576826390373E-2</v>
      </c>
    </row>
    <row r="28" spans="1:7" ht="15" customHeight="1" x14ac:dyDescent="0.35">
      <c r="A28" s="88" t="s">
        <v>264</v>
      </c>
      <c r="B28" s="89">
        <v>41065.54</v>
      </c>
      <c r="C28" s="94">
        <f>B28/B29</f>
        <v>0.4472095969166085</v>
      </c>
      <c r="D28" s="89">
        <v>43893.279999999999</v>
      </c>
      <c r="E28" s="94">
        <f>D28/D29</f>
        <v>0.49827382420024457</v>
      </c>
      <c r="F28" s="89">
        <v>50708.41</v>
      </c>
      <c r="G28" s="94">
        <f>F28/F29</f>
        <v>0.54064530615386885</v>
      </c>
    </row>
    <row r="29" spans="1:7" ht="15" customHeight="1" x14ac:dyDescent="0.35">
      <c r="A29" s="90" t="s">
        <v>519</v>
      </c>
      <c r="B29" s="91">
        <v>91826.16</v>
      </c>
      <c r="C29" s="95">
        <f>B29/B29</f>
        <v>1</v>
      </c>
      <c r="D29" s="91">
        <v>88090.68</v>
      </c>
      <c r="E29" s="95">
        <f>D29/D29</f>
        <v>1</v>
      </c>
      <c r="F29" s="91">
        <v>93792.38</v>
      </c>
      <c r="G29" s="95">
        <f>F29/F29</f>
        <v>1</v>
      </c>
    </row>
    <row r="30" spans="1:7" ht="15.75" customHeight="1" x14ac:dyDescent="0.35">
      <c r="A30" s="159" t="s">
        <v>274</v>
      </c>
      <c r="B30" s="159"/>
      <c r="C30" s="159"/>
      <c r="D30" s="159"/>
      <c r="E30" s="159"/>
      <c r="F30" s="159"/>
      <c r="G30" s="159"/>
    </row>
    <row r="31" spans="1:7" ht="15" customHeight="1" x14ac:dyDescent="0.35">
      <c r="A31" s="86" t="s">
        <v>520</v>
      </c>
      <c r="B31" s="87">
        <v>1248.47</v>
      </c>
      <c r="C31" s="93">
        <f>B31/B29</f>
        <v>1.359601664710797E-2</v>
      </c>
      <c r="D31" s="87">
        <v>1251.4100000000001</v>
      </c>
      <c r="E31" s="93">
        <f>D31/D29</f>
        <v>1.4205929617071865E-2</v>
      </c>
      <c r="F31" s="87">
        <v>1252.95</v>
      </c>
      <c r="G31" s="93">
        <f>F31/F29</f>
        <v>1.3358761127503109E-2</v>
      </c>
    </row>
    <row r="32" spans="1:7" ht="15" customHeight="1" x14ac:dyDescent="0.35">
      <c r="A32" s="86" t="s">
        <v>521</v>
      </c>
      <c r="B32" s="87">
        <v>73258.53</v>
      </c>
      <c r="C32" s="93">
        <f>B32/B29</f>
        <v>0.797795856866932</v>
      </c>
      <c r="D32" s="87">
        <v>68778.64</v>
      </c>
      <c r="E32" s="93">
        <f>D32/D29</f>
        <v>0.78077090561680307</v>
      </c>
      <c r="F32" s="87">
        <v>71254.350000000006</v>
      </c>
      <c r="G32" s="93">
        <f>F32/F29</f>
        <v>0.75970297373837836</v>
      </c>
    </row>
    <row r="33" spans="1:7" ht="15" customHeight="1" x14ac:dyDescent="0.35">
      <c r="A33" s="88" t="s">
        <v>522</v>
      </c>
      <c r="B33" s="89">
        <v>74507</v>
      </c>
      <c r="C33" s="94">
        <f>B33/B29</f>
        <v>0.81139187351403996</v>
      </c>
      <c r="D33" s="89">
        <v>70030.05</v>
      </c>
      <c r="E33" s="94">
        <f>D33/D29</f>
        <v>0.79497683523387497</v>
      </c>
      <c r="F33" s="89">
        <v>72507.3</v>
      </c>
      <c r="G33" s="94">
        <f>F33/F29</f>
        <v>0.77306173486588137</v>
      </c>
    </row>
    <row r="34" spans="1:7" ht="15" customHeight="1" x14ac:dyDescent="0.35">
      <c r="A34" s="86" t="s">
        <v>523</v>
      </c>
      <c r="B34" s="87">
        <v>382.97</v>
      </c>
      <c r="C34" s="93">
        <f>B34/B29</f>
        <v>4.1705980082364326E-3</v>
      </c>
      <c r="D34" s="87">
        <v>367.89</v>
      </c>
      <c r="E34" s="93">
        <f>D34/D29</f>
        <v>4.1762647308432634E-3</v>
      </c>
      <c r="F34" s="87">
        <v>365.72</v>
      </c>
      <c r="G34" s="93">
        <f>F34/F29</f>
        <v>3.8992506640731371E-3</v>
      </c>
    </row>
    <row r="35" spans="1:7" ht="15" customHeight="1" x14ac:dyDescent="0.35">
      <c r="A35" s="88" t="s">
        <v>524</v>
      </c>
      <c r="B35" s="89">
        <v>74889.97</v>
      </c>
      <c r="C35" s="94">
        <f>B35/B29</f>
        <v>0.81556247152227646</v>
      </c>
      <c r="D35" s="89">
        <v>70397.94</v>
      </c>
      <c r="E35" s="94">
        <f>D35/D29</f>
        <v>0.79915309996471828</v>
      </c>
      <c r="F35" s="89">
        <v>72873.02</v>
      </c>
      <c r="G35" s="94">
        <f>F35/F29</f>
        <v>0.77696098552995452</v>
      </c>
    </row>
    <row r="36" spans="1:7" ht="15.75" customHeight="1" x14ac:dyDescent="0.35">
      <c r="A36" s="159" t="s">
        <v>525</v>
      </c>
      <c r="B36" s="159"/>
      <c r="C36" s="159"/>
      <c r="D36" s="159"/>
      <c r="E36" s="159"/>
      <c r="F36" s="159"/>
      <c r="G36" s="159"/>
    </row>
    <row r="37" spans="1:7" ht="15" customHeight="1" x14ac:dyDescent="0.35">
      <c r="A37" s="86" t="s">
        <v>526</v>
      </c>
      <c r="B37" s="87">
        <v>1.76</v>
      </c>
      <c r="C37" s="93">
        <f>B37/B29</f>
        <v>1.9166651420466674E-5</v>
      </c>
      <c r="D37" s="87">
        <v>0</v>
      </c>
      <c r="E37" s="93"/>
      <c r="F37" s="87">
        <v>60</v>
      </c>
      <c r="G37" s="93">
        <f>F37/F29</f>
        <v>6.3971081659298967E-4</v>
      </c>
    </row>
    <row r="38" spans="1:7" ht="15" customHeight="1" x14ac:dyDescent="0.35">
      <c r="A38" s="86" t="s">
        <v>527</v>
      </c>
      <c r="B38" s="87">
        <v>230.61</v>
      </c>
      <c r="C38" s="93">
        <f>B38/B29</f>
        <v>2.5113758432237609E-3</v>
      </c>
      <c r="D38" s="87">
        <v>137.21</v>
      </c>
      <c r="E38" s="93">
        <f>D38/D29</f>
        <v>1.5575995099595102E-3</v>
      </c>
      <c r="F38" s="87">
        <v>140.86000000000001</v>
      </c>
      <c r="G38" s="93">
        <f>F38/F29</f>
        <v>1.5018277604214756E-3</v>
      </c>
    </row>
    <row r="39" spans="1:7" ht="15" customHeight="1" x14ac:dyDescent="0.35">
      <c r="A39" s="86" t="s">
        <v>528</v>
      </c>
      <c r="B39" s="87">
        <v>433.96</v>
      </c>
      <c r="C39" s="93">
        <f>B39/B29</f>
        <v>4.7258863922873392E-3</v>
      </c>
      <c r="D39" s="87">
        <v>301.33999999999997</v>
      </c>
      <c r="E39" s="93">
        <f>D39/D29</f>
        <v>3.4207932099059742E-3</v>
      </c>
      <c r="F39" s="87">
        <v>510.4</v>
      </c>
      <c r="G39" s="93">
        <f>F39/F29</f>
        <v>5.4418066798176991E-3</v>
      </c>
    </row>
    <row r="40" spans="1:7" ht="15" customHeight="1" x14ac:dyDescent="0.35">
      <c r="A40" s="86" t="s">
        <v>529</v>
      </c>
      <c r="B40" s="87">
        <v>288.3</v>
      </c>
      <c r="C40" s="93">
        <f>B40/B29</f>
        <v>3.1396281843866715E-3</v>
      </c>
      <c r="D40" s="87">
        <v>303.11</v>
      </c>
      <c r="E40" s="93">
        <f>D40/D29</f>
        <v>3.4408861414170037E-3</v>
      </c>
      <c r="F40" s="87">
        <v>389.43</v>
      </c>
      <c r="G40" s="93">
        <f>F40/F29</f>
        <v>4.1520430550967997E-3</v>
      </c>
    </row>
    <row r="41" spans="1:7" ht="15" customHeight="1" x14ac:dyDescent="0.35">
      <c r="A41" s="86" t="s">
        <v>530</v>
      </c>
      <c r="B41" s="87">
        <v>2141.44</v>
      </c>
      <c r="C41" s="93">
        <f>B41/B29</f>
        <v>2.3320587510138723E-2</v>
      </c>
      <c r="D41" s="87">
        <v>2582.46</v>
      </c>
      <c r="E41" s="93">
        <f>D41/D29</f>
        <v>2.9315927632752981E-2</v>
      </c>
      <c r="F41" s="87">
        <v>3089.62</v>
      </c>
      <c r="G41" s="93">
        <f>F41/F29</f>
        <v>3.2941055552700549E-2</v>
      </c>
    </row>
    <row r="42" spans="1:7" ht="15" customHeight="1" x14ac:dyDescent="0.35">
      <c r="A42" s="86" t="s">
        <v>531</v>
      </c>
      <c r="B42" s="87">
        <v>149.72</v>
      </c>
      <c r="C42" s="93">
        <f>B42/B29</f>
        <v>1.6304721878819717E-3</v>
      </c>
      <c r="D42" s="87">
        <v>34.51</v>
      </c>
      <c r="E42" s="93">
        <f>D42/D29</f>
        <v>3.9175540477153772E-4</v>
      </c>
      <c r="F42" s="87">
        <v>41.78</v>
      </c>
      <c r="G42" s="93">
        <f>F42/F29</f>
        <v>4.4545196528758519E-4</v>
      </c>
    </row>
    <row r="43" spans="1:7" ht="15" customHeight="1" x14ac:dyDescent="0.35">
      <c r="A43" s="88" t="s">
        <v>532</v>
      </c>
      <c r="B43" s="89">
        <v>3245.79</v>
      </c>
      <c r="C43" s="94">
        <f>B43/B29</f>
        <v>3.5347116769338931E-2</v>
      </c>
      <c r="D43" s="89">
        <v>3358.63</v>
      </c>
      <c r="E43" s="94">
        <f>D43/D29</f>
        <v>3.8126961898807009E-2</v>
      </c>
      <c r="F43" s="89">
        <v>4232.09</v>
      </c>
      <c r="G43" s="94">
        <f>F43/F29</f>
        <v>4.5121895829917102E-2</v>
      </c>
    </row>
    <row r="44" spans="1:7" ht="15.75" customHeight="1" x14ac:dyDescent="0.35">
      <c r="A44" s="159" t="s">
        <v>533</v>
      </c>
      <c r="B44" s="159"/>
      <c r="C44" s="159"/>
      <c r="D44" s="159"/>
      <c r="E44" s="159"/>
      <c r="F44" s="159"/>
      <c r="G44" s="159"/>
    </row>
    <row r="45" spans="1:7" ht="15" customHeight="1" x14ac:dyDescent="0.35">
      <c r="A45" s="86" t="s">
        <v>534</v>
      </c>
      <c r="B45" s="87">
        <v>9.52</v>
      </c>
      <c r="C45" s="93">
        <f>B45/B29</f>
        <v>1.0367415995616063E-4</v>
      </c>
      <c r="D45" s="87">
        <v>91.26</v>
      </c>
      <c r="E45" s="93">
        <f>D45/D29</f>
        <v>1.0359779263822235E-3</v>
      </c>
      <c r="F45" s="87">
        <v>2126.2199999999998</v>
      </c>
      <c r="G45" s="93">
        <f>F45/F29</f>
        <v>2.2669432207605776E-2</v>
      </c>
    </row>
    <row r="46" spans="1:7" ht="15" customHeight="1" x14ac:dyDescent="0.35">
      <c r="A46" s="86" t="s">
        <v>535</v>
      </c>
      <c r="B46" s="87">
        <v>61.54</v>
      </c>
      <c r="C46" s="93">
        <f>B46/B29</f>
        <v>6.7017939114518126E-4</v>
      </c>
      <c r="D46" s="87">
        <v>56.07</v>
      </c>
      <c r="E46" s="93">
        <f>D46/D29</f>
        <v>6.3650320329006432E-4</v>
      </c>
      <c r="F46" s="87">
        <v>71.98</v>
      </c>
      <c r="G46" s="93">
        <f>F46/F29</f>
        <v>7.6743974297272335E-4</v>
      </c>
    </row>
    <row r="47" spans="1:7" ht="15" customHeight="1" x14ac:dyDescent="0.35">
      <c r="A47" s="86" t="s">
        <v>536</v>
      </c>
      <c r="B47" s="87">
        <v>4797.83</v>
      </c>
      <c r="C47" s="93">
        <f>B47/B29</f>
        <v>5.2249054082191826E-2</v>
      </c>
      <c r="D47" s="87">
        <v>4807.3</v>
      </c>
      <c r="E47" s="93">
        <f>D47/D29</f>
        <v>5.4572174945181497E-2</v>
      </c>
      <c r="F47" s="87">
        <v>5639.55</v>
      </c>
      <c r="G47" s="93">
        <f>F47/F29</f>
        <v>6.0128018928616585E-2</v>
      </c>
    </row>
    <row r="48" spans="1:7" ht="15" customHeight="1" x14ac:dyDescent="0.35">
      <c r="A48" s="86" t="s">
        <v>537</v>
      </c>
      <c r="B48" s="87">
        <v>2179</v>
      </c>
      <c r="C48" s="93">
        <f>B48/B29</f>
        <v>2.3729621275680044E-2</v>
      </c>
      <c r="D48" s="87">
        <v>1921.5</v>
      </c>
      <c r="E48" s="93">
        <f>D48/D29</f>
        <v>2.1812750225108948E-2</v>
      </c>
      <c r="F48" s="87">
        <v>2099.15</v>
      </c>
      <c r="G48" s="93">
        <f>F48/F29</f>
        <v>2.2380816010852907E-2</v>
      </c>
    </row>
    <row r="49" spans="1:7" ht="15" customHeight="1" x14ac:dyDescent="0.35">
      <c r="A49" s="86" t="s">
        <v>538</v>
      </c>
      <c r="B49" s="87">
        <v>5594.72</v>
      </c>
      <c r="C49" s="93">
        <f>B49/B29</f>
        <v>6.0927300019950739E-2</v>
      </c>
      <c r="D49" s="87">
        <v>6148.27</v>
      </c>
      <c r="E49" s="93">
        <f>D49/D29</f>
        <v>6.9794784192834025E-2</v>
      </c>
      <c r="F49" s="87">
        <v>5037.6400000000003</v>
      </c>
      <c r="G49" s="93">
        <f>F49/F29</f>
        <v>5.3710546635025148E-2</v>
      </c>
    </row>
    <row r="50" spans="1:7" ht="15" customHeight="1" x14ac:dyDescent="0.35">
      <c r="A50" s="86" t="s">
        <v>539</v>
      </c>
      <c r="B50" s="87">
        <v>106.91</v>
      </c>
      <c r="C50" s="93">
        <f>B50/B29</f>
        <v>1.1642651723648249E-3</v>
      </c>
      <c r="D50" s="87">
        <v>80.06</v>
      </c>
      <c r="E50" s="93">
        <f>D50/D29</f>
        <v>9.0883621286610582E-4</v>
      </c>
      <c r="F50" s="87">
        <v>423.91</v>
      </c>
      <c r="G50" s="93">
        <f>F50/F29</f>
        <v>4.5196635376989047E-3</v>
      </c>
    </row>
    <row r="51" spans="1:7" ht="15" customHeight="1" x14ac:dyDescent="0.35">
      <c r="A51" s="86" t="s">
        <v>540</v>
      </c>
      <c r="B51" s="87">
        <v>940.88</v>
      </c>
      <c r="C51" s="93">
        <f>B51/B29</f>
        <v>1.0246317607095842E-2</v>
      </c>
      <c r="D51" s="87">
        <v>1229.6500000000001</v>
      </c>
      <c r="E51" s="93">
        <f>D51/D29</f>
        <v>1.3958911430811979E-2</v>
      </c>
      <c r="F51" s="87">
        <v>1288.82</v>
      </c>
      <c r="G51" s="93">
        <f>F51/F29</f>
        <v>1.3741201577356282E-2</v>
      </c>
    </row>
    <row r="52" spans="1:7" ht="15" customHeight="1" x14ac:dyDescent="0.35">
      <c r="A52" s="88" t="s">
        <v>271</v>
      </c>
      <c r="B52" s="89">
        <v>13690.4</v>
      </c>
      <c r="C52" s="94">
        <f>B52/B29</f>
        <v>0.14909041170838461</v>
      </c>
      <c r="D52" s="89">
        <v>14334.11</v>
      </c>
      <c r="E52" s="94">
        <f>D52/D29</f>
        <v>0.16271993813647484</v>
      </c>
      <c r="F52" s="89">
        <v>16687.27</v>
      </c>
      <c r="G52" s="94">
        <f>F52/F29</f>
        <v>0.17791711864012832</v>
      </c>
    </row>
    <row r="53" spans="1:7" ht="15" customHeight="1" x14ac:dyDescent="0.35">
      <c r="A53" s="90" t="s">
        <v>541</v>
      </c>
      <c r="B53" s="91">
        <v>91826.16</v>
      </c>
      <c r="C53" s="95">
        <f>B53/B29</f>
        <v>1</v>
      </c>
      <c r="D53" s="91">
        <v>88090.68</v>
      </c>
      <c r="E53" s="95">
        <f>D53/D29</f>
        <v>1</v>
      </c>
      <c r="F53" s="91">
        <v>93792.38</v>
      </c>
      <c r="G53" s="95">
        <f>F53/F29</f>
        <v>1</v>
      </c>
    </row>
    <row r="55" spans="1:7" x14ac:dyDescent="0.35">
      <c r="A55" s="92" t="s">
        <v>570</v>
      </c>
    </row>
  </sheetData>
  <mergeCells count="13">
    <mergeCell ref="A1:G1"/>
    <mergeCell ref="A2:A3"/>
    <mergeCell ref="B2:B3"/>
    <mergeCell ref="C2:C3"/>
    <mergeCell ref="D2:D3"/>
    <mergeCell ref="E2:E3"/>
    <mergeCell ref="F2:F3"/>
    <mergeCell ref="G2:G3"/>
    <mergeCell ref="A4:G4"/>
    <mergeCell ref="A18:G18"/>
    <mergeCell ref="A30:G30"/>
    <mergeCell ref="A36:G36"/>
    <mergeCell ref="A44:G4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7575-29B9-4221-9259-535481F31381}">
  <sheetPr>
    <tabColor rgb="FF538135"/>
  </sheetPr>
  <dimension ref="A1:G30"/>
  <sheetViews>
    <sheetView zoomScaleNormal="100" workbookViewId="0">
      <pane xSplit="1" ySplit="3" topLeftCell="B4" activePane="bottomRight" state="frozen"/>
      <selection sqref="A1:F1"/>
      <selection pane="topRight" sqref="A1:F1"/>
      <selection pane="bottomLeft" sqref="A1:F1"/>
      <selection pane="bottomRight" sqref="A1:G1"/>
    </sheetView>
  </sheetViews>
  <sheetFormatPr defaultColWidth="8.6328125" defaultRowHeight="14.5" x14ac:dyDescent="0.35"/>
  <cols>
    <col min="1" max="1" width="44" customWidth="1"/>
    <col min="2" max="7" width="14" customWidth="1"/>
  </cols>
  <sheetData>
    <row r="1" spans="1:7" ht="30" customHeight="1" x14ac:dyDescent="0.35">
      <c r="A1" s="160" t="s">
        <v>571</v>
      </c>
      <c r="B1" s="160"/>
      <c r="C1" s="160"/>
      <c r="D1" s="160"/>
      <c r="E1" s="160"/>
      <c r="F1" s="160"/>
      <c r="G1" s="160"/>
    </row>
    <row r="2" spans="1:7" ht="39.75" customHeight="1" x14ac:dyDescent="0.35">
      <c r="A2" s="161" t="s">
        <v>490</v>
      </c>
      <c r="B2" s="162" t="s">
        <v>491</v>
      </c>
      <c r="C2" s="162" t="s">
        <v>567</v>
      </c>
      <c r="D2" s="162" t="s">
        <v>492</v>
      </c>
      <c r="E2" s="162" t="s">
        <v>568</v>
      </c>
      <c r="F2" s="162" t="s">
        <v>493</v>
      </c>
      <c r="G2" s="162" t="s">
        <v>569</v>
      </c>
    </row>
    <row r="3" spans="1:7" x14ac:dyDescent="0.35">
      <c r="A3" s="161"/>
      <c r="B3" s="162"/>
      <c r="C3" s="162"/>
      <c r="D3" s="162"/>
      <c r="E3" s="162"/>
      <c r="F3" s="162"/>
      <c r="G3" s="162"/>
    </row>
    <row r="4" spans="1:7" ht="15.75" customHeight="1" x14ac:dyDescent="0.35">
      <c r="A4" s="159" t="s">
        <v>544</v>
      </c>
      <c r="B4" s="159"/>
      <c r="C4" s="159"/>
      <c r="D4" s="159"/>
      <c r="E4" s="159"/>
      <c r="F4" s="159"/>
      <c r="G4" s="159"/>
    </row>
    <row r="5" spans="1:7" ht="15" customHeight="1" x14ac:dyDescent="0.35">
      <c r="A5" s="86" t="s">
        <v>545</v>
      </c>
      <c r="B5" s="87">
        <v>73891.429999999993</v>
      </c>
      <c r="C5" s="93">
        <f>B5/B7</f>
        <v>0.96483342288565654</v>
      </c>
      <c r="D5" s="87">
        <v>81612.78</v>
      </c>
      <c r="E5" s="93">
        <f>D5/D7</f>
        <v>0.96993563416904682</v>
      </c>
      <c r="F5" s="87">
        <v>89913.33</v>
      </c>
      <c r="G5" s="93">
        <f>F5/F7</f>
        <v>0.97372944709355613</v>
      </c>
    </row>
    <row r="6" spans="1:7" ht="15" customHeight="1" x14ac:dyDescent="0.35">
      <c r="A6" s="86" t="s">
        <v>185</v>
      </c>
      <c r="B6" s="87">
        <v>2693.22</v>
      </c>
      <c r="C6" s="93">
        <f>B6/B7</f>
        <v>3.5166577114343407E-2</v>
      </c>
      <c r="D6" s="87">
        <v>2529.69</v>
      </c>
      <c r="E6" s="93">
        <f>D6/D7</f>
        <v>3.0064365830953146E-2</v>
      </c>
      <c r="F6" s="87">
        <v>2425.8000000000002</v>
      </c>
      <c r="G6" s="93">
        <f>F6/F7</f>
        <v>2.6270552906443888E-2</v>
      </c>
    </row>
    <row r="7" spans="1:7" ht="15" customHeight="1" x14ac:dyDescent="0.35">
      <c r="A7" s="88" t="s">
        <v>546</v>
      </c>
      <c r="B7" s="89">
        <v>76584.649999999994</v>
      </c>
      <c r="C7" s="94">
        <f>B7/B7</f>
        <v>1</v>
      </c>
      <c r="D7" s="89">
        <v>84142.47</v>
      </c>
      <c r="E7" s="94">
        <f>D7/D7</f>
        <v>1</v>
      </c>
      <c r="F7" s="89">
        <v>92339.13</v>
      </c>
      <c r="G7" s="94">
        <f>F7/F7</f>
        <v>1</v>
      </c>
    </row>
    <row r="8" spans="1:7" ht="15.75" customHeight="1" x14ac:dyDescent="0.35">
      <c r="A8" s="159" t="s">
        <v>547</v>
      </c>
      <c r="B8" s="159"/>
      <c r="C8" s="159"/>
      <c r="D8" s="159"/>
      <c r="E8" s="159"/>
      <c r="F8" s="159"/>
      <c r="G8" s="159"/>
    </row>
    <row r="9" spans="1:7" ht="15" customHeight="1" x14ac:dyDescent="0.35">
      <c r="A9" s="86" t="s">
        <v>548</v>
      </c>
      <c r="B9" s="87">
        <v>21288.44</v>
      </c>
      <c r="C9" s="93">
        <f>B9/B7</f>
        <v>0.27797267468089232</v>
      </c>
      <c r="D9" s="87">
        <v>23757.33</v>
      </c>
      <c r="E9" s="93">
        <f>D9/D7</f>
        <v>0.28234647734966661</v>
      </c>
      <c r="F9" s="87">
        <v>26272.33</v>
      </c>
      <c r="G9" s="93">
        <f>F9/F7</f>
        <v>0.28452000793163201</v>
      </c>
    </row>
    <row r="10" spans="1:7" ht="15" customHeight="1" x14ac:dyDescent="0.35">
      <c r="A10" s="86" t="s">
        <v>549</v>
      </c>
      <c r="B10" s="87">
        <v>6060.13</v>
      </c>
      <c r="C10" s="93">
        <f>B10/B7</f>
        <v>7.9129825624325509E-2</v>
      </c>
      <c r="D10" s="87">
        <v>8947.0400000000009</v>
      </c>
      <c r="E10" s="93">
        <f>D10/D7</f>
        <v>0.10633203422718635</v>
      </c>
      <c r="F10" s="87">
        <v>8826.01</v>
      </c>
      <c r="G10" s="93">
        <f>F10/F7</f>
        <v>9.5582555304560474E-2</v>
      </c>
    </row>
    <row r="11" spans="1:7" ht="15" customHeight="1" x14ac:dyDescent="0.35">
      <c r="A11" s="86" t="s">
        <v>550</v>
      </c>
      <c r="B11" s="87">
        <v>-367.77</v>
      </c>
      <c r="C11" s="93">
        <f>B11/B7</f>
        <v>-4.8021372429070319E-3</v>
      </c>
      <c r="D11" s="87">
        <v>-725.65</v>
      </c>
      <c r="E11" s="93">
        <f>D11/D7</f>
        <v>-8.6240634485771576E-3</v>
      </c>
      <c r="F11" s="87">
        <v>-2550.46</v>
      </c>
      <c r="G11" s="93">
        <f>F11/F7</f>
        <v>-2.7620576455506998E-2</v>
      </c>
    </row>
    <row r="12" spans="1:7" ht="15" customHeight="1" x14ac:dyDescent="0.35">
      <c r="A12" s="86" t="s">
        <v>551</v>
      </c>
      <c r="B12" s="87">
        <v>5959.49</v>
      </c>
      <c r="C12" s="93">
        <f>B12/B7</f>
        <v>7.7815724169268907E-2</v>
      </c>
      <c r="D12" s="87">
        <v>6289.44</v>
      </c>
      <c r="E12" s="93">
        <f>D12/D7</f>
        <v>7.4747508600591345E-2</v>
      </c>
      <c r="F12" s="87">
        <v>11044.93</v>
      </c>
      <c r="G12" s="93">
        <f>F12/F7</f>
        <v>0.1196126712478231</v>
      </c>
    </row>
    <row r="13" spans="1:7" ht="15" customHeight="1" x14ac:dyDescent="0.35">
      <c r="A13" s="86" t="s">
        <v>552</v>
      </c>
      <c r="B13" s="87">
        <v>5548.53</v>
      </c>
      <c r="C13" s="93">
        <f>B13/B7</f>
        <v>7.2449635795162615E-2</v>
      </c>
      <c r="D13" s="87">
        <v>6169.78</v>
      </c>
      <c r="E13" s="93">
        <f>D13/D7</f>
        <v>7.332539679427047E-2</v>
      </c>
      <c r="F13" s="87">
        <v>6781.5</v>
      </c>
      <c r="G13" s="93">
        <f>F13/F7</f>
        <v>7.3441237750453137E-2</v>
      </c>
    </row>
    <row r="14" spans="1:7" ht="15" customHeight="1" x14ac:dyDescent="0.35">
      <c r="A14" s="86" t="s">
        <v>553</v>
      </c>
      <c r="B14" s="87">
        <v>39.11</v>
      </c>
      <c r="C14" s="93">
        <f>B14/B7</f>
        <v>5.1067674788616256E-4</v>
      </c>
      <c r="D14" s="87">
        <v>45.06</v>
      </c>
      <c r="E14" s="93">
        <f>D14/D7</f>
        <v>5.355202907639864E-4</v>
      </c>
      <c r="F14" s="87">
        <v>85.17</v>
      </c>
      <c r="G14" s="93">
        <f>F14/F7</f>
        <v>9.2236086694773929E-4</v>
      </c>
    </row>
    <row r="15" spans="1:7" ht="15" customHeight="1" x14ac:dyDescent="0.35">
      <c r="A15" s="86" t="s">
        <v>554</v>
      </c>
      <c r="B15" s="87">
        <v>1518.05</v>
      </c>
      <c r="C15" s="93">
        <f>B15/B7</f>
        <v>1.982185725207336E-2</v>
      </c>
      <c r="D15" s="87">
        <v>1646.32</v>
      </c>
      <c r="E15" s="93">
        <f>D15/D7</f>
        <v>1.9565862518654373E-2</v>
      </c>
      <c r="F15" s="87">
        <v>1710.53</v>
      </c>
      <c r="G15" s="93">
        <f>F15/F7</f>
        <v>1.852443270799714E-2</v>
      </c>
    </row>
    <row r="16" spans="1:7" ht="15" customHeight="1" x14ac:dyDescent="0.35">
      <c r="A16" s="86" t="s">
        <v>555</v>
      </c>
      <c r="B16" s="87">
        <v>10152.82</v>
      </c>
      <c r="C16" s="93">
        <f>B16/B7</f>
        <v>0.1325699079384707</v>
      </c>
      <c r="D16" s="87">
        <v>11196.63</v>
      </c>
      <c r="E16" s="93">
        <f>D16/D7</f>
        <v>0.13306752226313298</v>
      </c>
      <c r="F16" s="87">
        <v>12221.11</v>
      </c>
      <c r="G16" s="93">
        <f>F16/F7</f>
        <v>0.13235028313565442</v>
      </c>
    </row>
    <row r="17" spans="1:7" ht="15" customHeight="1" x14ac:dyDescent="0.35">
      <c r="A17" s="88" t="s">
        <v>556</v>
      </c>
      <c r="B17" s="89">
        <v>50198.8</v>
      </c>
      <c r="C17" s="94">
        <f>B17/B7</f>
        <v>0.65546816496517257</v>
      </c>
      <c r="D17" s="89">
        <v>57325.95</v>
      </c>
      <c r="E17" s="94">
        <f>D17/D7</f>
        <v>0.68129625859568888</v>
      </c>
      <c r="F17" s="89">
        <v>64391.12</v>
      </c>
      <c r="G17" s="94">
        <f>F17/F7</f>
        <v>0.69733297248956105</v>
      </c>
    </row>
    <row r="18" spans="1:7" ht="15" customHeight="1" x14ac:dyDescent="0.35">
      <c r="A18" s="86" t="s">
        <v>557</v>
      </c>
      <c r="B18" s="87">
        <v>14.43</v>
      </c>
      <c r="C18" s="93">
        <f>B18/B7</f>
        <v>1.8841895862943816E-4</v>
      </c>
      <c r="D18" s="87">
        <v>110.42</v>
      </c>
      <c r="E18" s="93">
        <f>D18/D7</f>
        <v>1.3122980582813888E-3</v>
      </c>
      <c r="F18" s="87">
        <v>377.08</v>
      </c>
      <c r="G18" s="93">
        <f>F18/F7</f>
        <v>4.0836425467729656E-3</v>
      </c>
    </row>
    <row r="19" spans="1:7" ht="15" customHeight="1" x14ac:dyDescent="0.35">
      <c r="A19" s="88" t="s">
        <v>558</v>
      </c>
      <c r="B19" s="89">
        <v>26400.28</v>
      </c>
      <c r="C19" s="94">
        <f>B19/B7</f>
        <v>0.3447202539934569</v>
      </c>
      <c r="D19" s="89">
        <v>26926.94</v>
      </c>
      <c r="E19" s="94">
        <f>D19/D7</f>
        <v>0.32001603946259244</v>
      </c>
      <c r="F19" s="89">
        <v>28325.09</v>
      </c>
      <c r="G19" s="94">
        <f>F19/F7</f>
        <v>0.3067506700572119</v>
      </c>
    </row>
    <row r="20" spans="1:7" ht="15" customHeight="1" x14ac:dyDescent="0.35">
      <c r="A20" s="86" t="s">
        <v>559</v>
      </c>
      <c r="B20" s="87">
        <v>0</v>
      </c>
      <c r="C20" s="93">
        <f>B20/B7</f>
        <v>0</v>
      </c>
      <c r="D20" s="87">
        <v>0</v>
      </c>
      <c r="E20" s="93">
        <f>D20/D7</f>
        <v>0</v>
      </c>
      <c r="F20" s="87">
        <v>-291.7</v>
      </c>
      <c r="G20" s="93">
        <f>F20/F7</f>
        <v>-3.1590074543695612E-3</v>
      </c>
    </row>
    <row r="21" spans="1:7" ht="15" customHeight="1" x14ac:dyDescent="0.35">
      <c r="A21" s="88" t="s">
        <v>560</v>
      </c>
      <c r="B21" s="89">
        <v>26400.28</v>
      </c>
      <c r="C21" s="94">
        <f>B21/B7</f>
        <v>0.3447202539934569</v>
      </c>
      <c r="D21" s="89">
        <v>26926.94</v>
      </c>
      <c r="E21" s="94">
        <f>D21/D7</f>
        <v>0.32001603946259244</v>
      </c>
      <c r="F21" s="89">
        <v>28033.39</v>
      </c>
      <c r="G21" s="94">
        <f>F21/F7</f>
        <v>0.30359166260284237</v>
      </c>
    </row>
    <row r="22" spans="1:7" ht="15" customHeight="1" x14ac:dyDescent="0.35">
      <c r="A22" s="86" t="s">
        <v>239</v>
      </c>
      <c r="B22" s="87">
        <v>6017.21</v>
      </c>
      <c r="C22" s="93">
        <f>B22/B7</f>
        <v>7.8569400003786663E-2</v>
      </c>
      <c r="D22" s="87">
        <v>6509.61</v>
      </c>
      <c r="E22" s="93">
        <f>D22/D7</f>
        <v>7.7364142031960792E-2</v>
      </c>
      <c r="F22" s="87">
        <v>6412.97</v>
      </c>
      <c r="G22" s="93">
        <f>F22/F7</f>
        <v>6.9450188668660831E-2</v>
      </c>
    </row>
    <row r="23" spans="1:7" ht="15" customHeight="1" x14ac:dyDescent="0.35">
      <c r="A23" s="86" t="s">
        <v>240</v>
      </c>
      <c r="B23" s="87">
        <v>192.25</v>
      </c>
      <c r="C23" s="93">
        <f>B23/B7</f>
        <v>2.5102941646922721E-3</v>
      </c>
      <c r="D23" s="87">
        <v>380.86</v>
      </c>
      <c r="E23" s="93">
        <f>D23/D7</f>
        <v>4.5263705712466013E-3</v>
      </c>
      <c r="F23" s="87">
        <v>602.27</v>
      </c>
      <c r="G23" s="93">
        <f>F23/F7</f>
        <v>6.5223703103982024E-3</v>
      </c>
    </row>
    <row r="24" spans="1:7" ht="15" customHeight="1" x14ac:dyDescent="0.35">
      <c r="A24" s="88" t="s">
        <v>561</v>
      </c>
      <c r="B24" s="89">
        <v>20190.82</v>
      </c>
      <c r="C24" s="94">
        <f>B24/B7</f>
        <v>0.26364055982497797</v>
      </c>
      <c r="D24" s="89">
        <v>20036.47</v>
      </c>
      <c r="E24" s="94">
        <f>D24/D7</f>
        <v>0.23812552685938504</v>
      </c>
      <c r="F24" s="89">
        <v>21018.15</v>
      </c>
      <c r="G24" s="94">
        <f>F24/F7</f>
        <v>0.22761910362378335</v>
      </c>
    </row>
    <row r="25" spans="1:7" ht="15" customHeight="1" x14ac:dyDescent="0.35">
      <c r="A25" s="86" t="s">
        <v>562</v>
      </c>
      <c r="B25" s="87">
        <v>560.54</v>
      </c>
      <c r="C25" s="93">
        <f>B25/B7</f>
        <v>7.3192212799823462E-3</v>
      </c>
      <c r="D25" s="87">
        <v>15016.01</v>
      </c>
      <c r="E25" s="93">
        <f>D25/D7</f>
        <v>0.1784593440149784</v>
      </c>
      <c r="F25" s="87">
        <v>0</v>
      </c>
      <c r="G25" s="93">
        <f>F25/F7</f>
        <v>0</v>
      </c>
    </row>
    <row r="26" spans="1:7" ht="15" customHeight="1" x14ac:dyDescent="0.35">
      <c r="A26" s="90" t="s">
        <v>563</v>
      </c>
      <c r="B26" s="91">
        <v>20751.36</v>
      </c>
      <c r="C26" s="95">
        <f>B26/B7</f>
        <v>0.27095978110496033</v>
      </c>
      <c r="D26" s="91">
        <v>35052.480000000003</v>
      </c>
      <c r="E26" s="95">
        <f>D26/D7</f>
        <v>0.41658487087436347</v>
      </c>
      <c r="F26" s="91">
        <v>21018.15</v>
      </c>
      <c r="G26" s="95">
        <f>F26/F7</f>
        <v>0.22761910362378335</v>
      </c>
    </row>
    <row r="27" spans="1:7" ht="15" customHeight="1" x14ac:dyDescent="0.35">
      <c r="A27" s="86" t="s">
        <v>564</v>
      </c>
      <c r="B27" s="87">
        <v>2955.66</v>
      </c>
      <c r="C27" s="93">
        <f>B27/B7</f>
        <v>3.8593373476277559E-2</v>
      </c>
      <c r="D27" s="87">
        <v>-624.86</v>
      </c>
      <c r="E27" s="93">
        <f>D27/D7</f>
        <v>-7.4262141341940643E-3</v>
      </c>
      <c r="F27" s="87">
        <v>-643.29</v>
      </c>
      <c r="G27" s="93">
        <f>F27/F7</f>
        <v>-6.9666023494048511E-3</v>
      </c>
    </row>
    <row r="28" spans="1:7" ht="15" customHeight="1" x14ac:dyDescent="0.35">
      <c r="A28" s="90" t="s">
        <v>565</v>
      </c>
      <c r="B28" s="91">
        <v>23707.02</v>
      </c>
      <c r="C28" s="95">
        <f>B28/B7</f>
        <v>0.30955315458123789</v>
      </c>
      <c r="D28" s="91">
        <v>34427.620000000003</v>
      </c>
      <c r="E28" s="95">
        <f>D28/D7</f>
        <v>0.40915865674016938</v>
      </c>
      <c r="F28" s="91">
        <v>20374.86</v>
      </c>
      <c r="G28" s="95">
        <f>F28/F7</f>
        <v>0.22065250127437847</v>
      </c>
    </row>
    <row r="30" spans="1:7" x14ac:dyDescent="0.35">
      <c r="A30" s="92" t="s">
        <v>572</v>
      </c>
    </row>
  </sheetData>
  <mergeCells count="10">
    <mergeCell ref="A4:G4"/>
    <mergeCell ref="A8:G8"/>
    <mergeCell ref="A1:G1"/>
    <mergeCell ref="A2:A3"/>
    <mergeCell ref="B2:B3"/>
    <mergeCell ref="C2:C3"/>
    <mergeCell ref="D2:D3"/>
    <mergeCell ref="E2:E3"/>
    <mergeCell ref="F2:F3"/>
    <mergeCell ref="G2:G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4B631-F64C-4324-899B-5D0B1BA76D42}">
  <sheetPr>
    <tabColor rgb="FF833C00"/>
  </sheetPr>
  <dimension ref="A1:F31"/>
  <sheetViews>
    <sheetView zoomScaleNormal="100" workbookViewId="0">
      <pane xSplit="1" ySplit="3" topLeftCell="B4" activePane="bottomRight" state="frozen"/>
      <selection sqref="A1:F1"/>
      <selection pane="topRight" sqref="A1:F1"/>
      <selection pane="bottomLeft" sqref="A1:F1"/>
      <selection pane="bottomRight" sqref="A1:F1"/>
    </sheetView>
  </sheetViews>
  <sheetFormatPr defaultColWidth="8.6328125" defaultRowHeight="14.5" x14ac:dyDescent="0.35"/>
  <cols>
    <col min="1" max="1" width="40" customWidth="1"/>
    <col min="2" max="6" width="16" customWidth="1"/>
  </cols>
  <sheetData>
    <row r="1" spans="1:6" ht="30" customHeight="1" x14ac:dyDescent="0.35">
      <c r="A1" s="160" t="s">
        <v>573</v>
      </c>
      <c r="B1" s="160"/>
      <c r="C1" s="160"/>
      <c r="D1" s="160"/>
      <c r="E1" s="160"/>
    </row>
    <row r="2" spans="1:6" ht="39.75" customHeight="1" x14ac:dyDescent="0.35">
      <c r="A2" s="162" t="s">
        <v>574</v>
      </c>
      <c r="B2" s="162" t="s">
        <v>575</v>
      </c>
      <c r="C2" s="162" t="s">
        <v>576</v>
      </c>
      <c r="D2" s="162" t="s">
        <v>577</v>
      </c>
      <c r="E2" s="162" t="s">
        <v>578</v>
      </c>
      <c r="F2" s="163"/>
    </row>
    <row r="3" spans="1:6" x14ac:dyDescent="0.35">
      <c r="A3" s="162"/>
      <c r="B3" s="162"/>
      <c r="C3" s="162"/>
      <c r="D3" s="162"/>
      <c r="E3" s="162"/>
      <c r="F3" s="163"/>
    </row>
    <row r="4" spans="1:6" ht="15.75" customHeight="1" x14ac:dyDescent="0.35">
      <c r="A4" s="159" t="s">
        <v>579</v>
      </c>
      <c r="B4" s="159"/>
      <c r="C4" s="159"/>
      <c r="D4" s="159"/>
      <c r="E4" s="159"/>
    </row>
    <row r="5" spans="1:6" ht="15" customHeight="1" x14ac:dyDescent="0.35">
      <c r="A5" s="86" t="s">
        <v>268</v>
      </c>
      <c r="B5" s="96">
        <v>100</v>
      </c>
      <c r="C5" s="96">
        <v>95.93</v>
      </c>
      <c r="D5" s="96">
        <v>102.14</v>
      </c>
      <c r="E5" s="97">
        <v>6.47</v>
      </c>
    </row>
    <row r="6" spans="1:6" ht="15" customHeight="1" x14ac:dyDescent="0.35">
      <c r="A6" s="98" t="s">
        <v>524</v>
      </c>
      <c r="B6" s="99">
        <v>100</v>
      </c>
      <c r="C6" s="99">
        <v>94</v>
      </c>
      <c r="D6" s="99">
        <v>97.31</v>
      </c>
      <c r="E6" s="100">
        <v>3.52</v>
      </c>
    </row>
    <row r="7" spans="1:6" ht="15" customHeight="1" x14ac:dyDescent="0.35">
      <c r="A7" s="86" t="s">
        <v>509</v>
      </c>
      <c r="B7" s="96">
        <v>100</v>
      </c>
      <c r="C7" s="96">
        <v>87.07</v>
      </c>
      <c r="D7" s="96">
        <v>84.88</v>
      </c>
      <c r="E7" s="101">
        <v>-2.52</v>
      </c>
    </row>
    <row r="8" spans="1:6" ht="15" customHeight="1" x14ac:dyDescent="0.35">
      <c r="A8" s="98" t="s">
        <v>264</v>
      </c>
      <c r="B8" s="99">
        <v>100</v>
      </c>
      <c r="C8" s="99">
        <v>106.89</v>
      </c>
      <c r="D8" s="99">
        <v>123.48</v>
      </c>
      <c r="E8" s="100">
        <v>15.53</v>
      </c>
    </row>
    <row r="9" spans="1:6" ht="15" customHeight="1" x14ac:dyDescent="0.35">
      <c r="A9" s="86" t="s">
        <v>263</v>
      </c>
      <c r="B9" s="96">
        <v>100</v>
      </c>
      <c r="C9" s="96">
        <v>110.49</v>
      </c>
      <c r="D9" s="96">
        <v>131.58000000000001</v>
      </c>
      <c r="E9" s="97">
        <v>19.09</v>
      </c>
    </row>
    <row r="10" spans="1:6" ht="15" customHeight="1" x14ac:dyDescent="0.35">
      <c r="A10" s="98" t="s">
        <v>512</v>
      </c>
      <c r="B10" s="99">
        <v>100</v>
      </c>
      <c r="C10" s="99">
        <v>125.83</v>
      </c>
      <c r="D10" s="99">
        <v>160.31</v>
      </c>
      <c r="E10" s="100">
        <v>27.4</v>
      </c>
    </row>
    <row r="11" spans="1:6" ht="15" customHeight="1" x14ac:dyDescent="0.35">
      <c r="A11" s="86" t="s">
        <v>580</v>
      </c>
      <c r="B11" s="96">
        <v>100</v>
      </c>
      <c r="C11" s="96">
        <v>103.48</v>
      </c>
      <c r="D11" s="96">
        <v>130.38999999999999</v>
      </c>
      <c r="E11" s="97">
        <v>26.01</v>
      </c>
    </row>
    <row r="12" spans="1:6" ht="15" customHeight="1" x14ac:dyDescent="0.35">
      <c r="A12" s="98" t="s">
        <v>271</v>
      </c>
      <c r="B12" s="99">
        <v>100</v>
      </c>
      <c r="C12" s="99">
        <v>104.7</v>
      </c>
      <c r="D12" s="99">
        <v>121.89</v>
      </c>
      <c r="E12" s="100">
        <v>16.420000000000002</v>
      </c>
    </row>
    <row r="13" spans="1:6" ht="15" customHeight="1" x14ac:dyDescent="0.35">
      <c r="A13" s="86" t="s">
        <v>581</v>
      </c>
      <c r="B13" s="96">
        <v>100</v>
      </c>
      <c r="C13" s="96">
        <v>75.510000000000005</v>
      </c>
      <c r="D13" s="96">
        <v>75.69</v>
      </c>
      <c r="E13" s="97">
        <v>0.24</v>
      </c>
    </row>
    <row r="14" spans="1:6" ht="15.75" customHeight="1" x14ac:dyDescent="0.35">
      <c r="A14" s="159" t="s">
        <v>582</v>
      </c>
      <c r="B14" s="159"/>
      <c r="C14" s="159"/>
      <c r="D14" s="159"/>
      <c r="E14" s="159"/>
    </row>
    <row r="15" spans="1:6" ht="15" customHeight="1" x14ac:dyDescent="0.35">
      <c r="A15" s="86" t="s">
        <v>545</v>
      </c>
      <c r="B15" s="96">
        <v>100</v>
      </c>
      <c r="C15" s="96">
        <v>110.45</v>
      </c>
      <c r="D15" s="96">
        <v>121.68</v>
      </c>
      <c r="E15" s="97">
        <v>10.17</v>
      </c>
    </row>
    <row r="16" spans="1:6" ht="15" customHeight="1" x14ac:dyDescent="0.35">
      <c r="A16" s="98" t="s">
        <v>546</v>
      </c>
      <c r="B16" s="99">
        <v>100</v>
      </c>
      <c r="C16" s="99">
        <v>109.87</v>
      </c>
      <c r="D16" s="99">
        <v>120.57</v>
      </c>
      <c r="E16" s="100">
        <v>9.74</v>
      </c>
    </row>
    <row r="17" spans="1:5" ht="15" customHeight="1" x14ac:dyDescent="0.35">
      <c r="A17" s="86" t="s">
        <v>556</v>
      </c>
      <c r="B17" s="96">
        <v>100</v>
      </c>
      <c r="C17" s="96">
        <v>114.2</v>
      </c>
      <c r="D17" s="96">
        <v>128.27000000000001</v>
      </c>
      <c r="E17" s="97">
        <v>12.32</v>
      </c>
    </row>
    <row r="18" spans="1:5" ht="15" customHeight="1" x14ac:dyDescent="0.35">
      <c r="A18" s="98" t="s">
        <v>583</v>
      </c>
      <c r="B18" s="99">
        <v>100</v>
      </c>
      <c r="C18" s="99">
        <v>102.01</v>
      </c>
      <c r="D18" s="99">
        <v>106.35</v>
      </c>
      <c r="E18" s="100">
        <v>4.25</v>
      </c>
    </row>
    <row r="19" spans="1:5" ht="15" customHeight="1" x14ac:dyDescent="0.35">
      <c r="A19" s="86" t="s">
        <v>584</v>
      </c>
      <c r="B19" s="96">
        <v>100</v>
      </c>
      <c r="C19" s="96">
        <v>101.99</v>
      </c>
      <c r="D19" s="96">
        <v>106.19</v>
      </c>
      <c r="E19" s="97">
        <v>4.1100000000000003</v>
      </c>
    </row>
    <row r="20" spans="1:5" ht="15" customHeight="1" x14ac:dyDescent="0.35">
      <c r="A20" s="98" t="s">
        <v>563</v>
      </c>
      <c r="B20" s="99">
        <v>100</v>
      </c>
      <c r="C20" s="99">
        <v>168.92</v>
      </c>
      <c r="D20" s="99">
        <v>101.29</v>
      </c>
      <c r="E20" s="102">
        <v>-40.04</v>
      </c>
    </row>
    <row r="21" spans="1:5" ht="15" customHeight="1" x14ac:dyDescent="0.35">
      <c r="A21" s="86" t="s">
        <v>552</v>
      </c>
      <c r="B21" s="96">
        <v>100</v>
      </c>
      <c r="C21" s="96">
        <v>111.2</v>
      </c>
      <c r="D21" s="96">
        <v>122.22</v>
      </c>
      <c r="E21" s="97">
        <v>9.91</v>
      </c>
    </row>
    <row r="22" spans="1:5" ht="15" customHeight="1" x14ac:dyDescent="0.35">
      <c r="A22" s="98" t="s">
        <v>553</v>
      </c>
      <c r="B22" s="99">
        <v>100</v>
      </c>
      <c r="C22" s="99">
        <v>115.21</v>
      </c>
      <c r="D22" s="99">
        <v>217.77</v>
      </c>
      <c r="E22" s="100">
        <v>89.01</v>
      </c>
    </row>
    <row r="23" spans="1:5" ht="15.75" customHeight="1" x14ac:dyDescent="0.35">
      <c r="A23" s="159" t="s">
        <v>585</v>
      </c>
      <c r="B23" s="159"/>
      <c r="C23" s="159"/>
      <c r="D23" s="159"/>
      <c r="E23" s="159"/>
    </row>
    <row r="24" spans="1:5" ht="15" customHeight="1" x14ac:dyDescent="0.35">
      <c r="A24" s="86" t="s">
        <v>586</v>
      </c>
      <c r="B24" s="96">
        <v>100</v>
      </c>
      <c r="C24" s="96">
        <v>153.74</v>
      </c>
      <c r="D24" s="96">
        <v>84</v>
      </c>
      <c r="E24" s="101">
        <v>-45.36</v>
      </c>
    </row>
    <row r="25" spans="1:5" ht="15" customHeight="1" x14ac:dyDescent="0.35">
      <c r="A25" s="98" t="s">
        <v>587</v>
      </c>
      <c r="B25" s="99">
        <v>100</v>
      </c>
      <c r="C25" s="99">
        <v>179.69</v>
      </c>
      <c r="D25" s="99">
        <v>104.09</v>
      </c>
      <c r="E25" s="102">
        <v>-42.07</v>
      </c>
    </row>
    <row r="26" spans="1:5" ht="15" customHeight="1" x14ac:dyDescent="0.35">
      <c r="A26" s="86" t="s">
        <v>588</v>
      </c>
      <c r="B26" s="103">
        <v>2.9996</v>
      </c>
      <c r="C26" s="103">
        <v>3.0621999999999998</v>
      </c>
      <c r="D26" s="103">
        <v>3.0387</v>
      </c>
      <c r="E26" s="101">
        <v>-0.76</v>
      </c>
    </row>
    <row r="27" spans="1:5" ht="15" customHeight="1" x14ac:dyDescent="0.35">
      <c r="A27" s="98" t="s">
        <v>589</v>
      </c>
      <c r="B27" s="104">
        <v>0.80469999999999997</v>
      </c>
      <c r="C27" s="104">
        <v>0.92649999999999999</v>
      </c>
      <c r="D27" s="104">
        <v>0.95860000000000001</v>
      </c>
      <c r="E27" s="100">
        <v>3.47</v>
      </c>
    </row>
    <row r="28" spans="1:5" ht="15" customHeight="1" x14ac:dyDescent="0.35">
      <c r="A28" s="86" t="s">
        <v>590</v>
      </c>
      <c r="B28" s="103">
        <v>0.2261</v>
      </c>
      <c r="C28" s="103">
        <v>0.25130000000000002</v>
      </c>
      <c r="D28" s="103">
        <v>0.28710000000000002</v>
      </c>
      <c r="E28" s="97">
        <v>14.22</v>
      </c>
    </row>
    <row r="29" spans="1:5" ht="15" customHeight="1" x14ac:dyDescent="0.35">
      <c r="A29" s="98" t="s">
        <v>591</v>
      </c>
      <c r="B29" s="104">
        <v>13.317299999999999</v>
      </c>
      <c r="C29" s="104">
        <v>13.2278</v>
      </c>
      <c r="D29" s="104">
        <v>13.258599999999999</v>
      </c>
      <c r="E29" s="100">
        <v>0.23</v>
      </c>
    </row>
    <row r="31" spans="1:5" x14ac:dyDescent="0.35">
      <c r="A31" s="92" t="s">
        <v>592</v>
      </c>
    </row>
  </sheetData>
  <mergeCells count="10">
    <mergeCell ref="F2:F3"/>
    <mergeCell ref="A4:E4"/>
    <mergeCell ref="A14:E14"/>
    <mergeCell ref="A23:E23"/>
    <mergeCell ref="A1:E1"/>
    <mergeCell ref="A2:A3"/>
    <mergeCell ref="B2:B3"/>
    <mergeCell ref="C2:C3"/>
    <mergeCell ref="D2:D3"/>
    <mergeCell ref="E2:E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0749-97D7-4CC8-8D04-81760F6BD705}">
  <sheetPr>
    <tabColor rgb="FF7030A0"/>
  </sheetPr>
  <dimension ref="A1:B30"/>
  <sheetViews>
    <sheetView zoomScaleNormal="100" workbookViewId="0">
      <selection sqref="A1:F1"/>
    </sheetView>
  </sheetViews>
  <sheetFormatPr defaultColWidth="8.6328125" defaultRowHeight="14.5" x14ac:dyDescent="0.35"/>
  <cols>
    <col min="1" max="1" width="22" customWidth="1"/>
    <col min="2" max="2" width="80" customWidth="1"/>
  </cols>
  <sheetData>
    <row r="1" spans="1:2" ht="34.5" customHeight="1" x14ac:dyDescent="0.35">
      <c r="A1" s="160" t="s">
        <v>593</v>
      </c>
      <c r="B1" s="160"/>
    </row>
    <row r="3" spans="1:2" ht="19.5" customHeight="1" x14ac:dyDescent="0.35">
      <c r="A3" s="164" t="s">
        <v>594</v>
      </c>
      <c r="B3" s="164"/>
    </row>
    <row r="4" spans="1:2" ht="15.75" customHeight="1" x14ac:dyDescent="0.35">
      <c r="A4" s="159" t="s">
        <v>595</v>
      </c>
      <c r="B4" s="159"/>
    </row>
    <row r="5" spans="1:2" ht="60" customHeight="1" x14ac:dyDescent="0.35">
      <c r="A5" s="105" t="s">
        <v>596</v>
      </c>
      <c r="B5" s="106" t="s">
        <v>597</v>
      </c>
    </row>
    <row r="6" spans="1:2" ht="60" customHeight="1" x14ac:dyDescent="0.35">
      <c r="A6" s="107" t="s">
        <v>598</v>
      </c>
      <c r="B6" s="108" t="s">
        <v>599</v>
      </c>
    </row>
    <row r="7" spans="1:2" ht="60" customHeight="1" x14ac:dyDescent="0.35">
      <c r="A7" s="105" t="s">
        <v>600</v>
      </c>
      <c r="B7" s="106" t="s">
        <v>601</v>
      </c>
    </row>
    <row r="8" spans="1:2" ht="60" customHeight="1" x14ac:dyDescent="0.35">
      <c r="A8" s="107" t="s">
        <v>602</v>
      </c>
      <c r="B8" s="108" t="s">
        <v>603</v>
      </c>
    </row>
    <row r="9" spans="1:2" ht="60" customHeight="1" x14ac:dyDescent="0.35">
      <c r="A9" s="105" t="s">
        <v>604</v>
      </c>
      <c r="B9" s="106" t="s">
        <v>605</v>
      </c>
    </row>
    <row r="10" spans="1:2" ht="19.5" customHeight="1" x14ac:dyDescent="0.35">
      <c r="A10" s="164" t="s">
        <v>606</v>
      </c>
      <c r="B10" s="164"/>
    </row>
    <row r="11" spans="1:2" ht="60" customHeight="1" x14ac:dyDescent="0.35">
      <c r="A11" s="105" t="s">
        <v>607</v>
      </c>
      <c r="B11" s="106" t="s">
        <v>608</v>
      </c>
    </row>
    <row r="12" spans="1:2" ht="60" customHeight="1" x14ac:dyDescent="0.35">
      <c r="A12" s="107" t="s">
        <v>609</v>
      </c>
      <c r="B12" s="108" t="s">
        <v>610</v>
      </c>
    </row>
    <row r="13" spans="1:2" ht="60" customHeight="1" x14ac:dyDescent="0.35">
      <c r="A13" s="105" t="s">
        <v>611</v>
      </c>
      <c r="B13" s="106" t="s">
        <v>612</v>
      </c>
    </row>
    <row r="14" spans="1:2" ht="60" customHeight="1" x14ac:dyDescent="0.35">
      <c r="A14" s="107" t="s">
        <v>613</v>
      </c>
      <c r="B14" s="108" t="s">
        <v>614</v>
      </c>
    </row>
    <row r="15" spans="1:2" ht="60" customHeight="1" x14ac:dyDescent="0.35">
      <c r="A15" s="105" t="s">
        <v>615</v>
      </c>
      <c r="B15" s="106" t="s">
        <v>616</v>
      </c>
    </row>
    <row r="16" spans="1:2" ht="19.5" customHeight="1" x14ac:dyDescent="0.35">
      <c r="A16" s="164" t="s">
        <v>617</v>
      </c>
      <c r="B16" s="164"/>
    </row>
    <row r="17" spans="1:2" ht="60" customHeight="1" x14ac:dyDescent="0.35">
      <c r="A17" s="105" t="s">
        <v>618</v>
      </c>
      <c r="B17" s="106" t="s">
        <v>619</v>
      </c>
    </row>
    <row r="18" spans="1:2" ht="60" customHeight="1" x14ac:dyDescent="0.35">
      <c r="A18" s="107" t="s">
        <v>620</v>
      </c>
      <c r="B18" s="108" t="s">
        <v>621</v>
      </c>
    </row>
    <row r="19" spans="1:2" ht="60" customHeight="1" x14ac:dyDescent="0.35">
      <c r="A19" s="105" t="s">
        <v>622</v>
      </c>
      <c r="B19" s="106" t="s">
        <v>623</v>
      </c>
    </row>
    <row r="20" spans="1:2" ht="60" customHeight="1" x14ac:dyDescent="0.35">
      <c r="A20" s="107" t="s">
        <v>624</v>
      </c>
      <c r="B20" s="108" t="s">
        <v>625</v>
      </c>
    </row>
    <row r="21" spans="1:2" ht="19.5" customHeight="1" x14ac:dyDescent="0.35">
      <c r="A21" s="164" t="s">
        <v>626</v>
      </c>
      <c r="B21" s="164"/>
    </row>
    <row r="22" spans="1:2" ht="60" customHeight="1" x14ac:dyDescent="0.35">
      <c r="A22" s="107" t="s">
        <v>627</v>
      </c>
      <c r="B22" s="108" t="s">
        <v>628</v>
      </c>
    </row>
    <row r="23" spans="1:2" ht="60" customHeight="1" x14ac:dyDescent="0.35">
      <c r="A23" s="105" t="s">
        <v>629</v>
      </c>
      <c r="B23" s="106" t="s">
        <v>630</v>
      </c>
    </row>
    <row r="24" spans="1:2" ht="60" customHeight="1" x14ac:dyDescent="0.35">
      <c r="A24" s="107" t="s">
        <v>631</v>
      </c>
      <c r="B24" s="108" t="s">
        <v>632</v>
      </c>
    </row>
    <row r="25" spans="1:2" ht="60" customHeight="1" x14ac:dyDescent="0.35">
      <c r="A25" s="105" t="s">
        <v>633</v>
      </c>
      <c r="B25" s="106" t="s">
        <v>634</v>
      </c>
    </row>
    <row r="26" spans="1:2" ht="60" customHeight="1" x14ac:dyDescent="0.35">
      <c r="A26" s="107" t="s">
        <v>635</v>
      </c>
      <c r="B26" s="108" t="s">
        <v>636</v>
      </c>
    </row>
    <row r="27" spans="1:2" ht="19.5" customHeight="1" x14ac:dyDescent="0.35">
      <c r="A27" s="164" t="s">
        <v>637</v>
      </c>
      <c r="B27" s="164"/>
    </row>
    <row r="28" spans="1:2" ht="60" customHeight="1" x14ac:dyDescent="0.35">
      <c r="A28" s="107" t="s">
        <v>638</v>
      </c>
      <c r="B28" s="108" t="s">
        <v>639</v>
      </c>
    </row>
    <row r="30" spans="1:2" x14ac:dyDescent="0.35">
      <c r="A30" s="165" t="s">
        <v>640</v>
      </c>
      <c r="B30" s="165"/>
    </row>
  </sheetData>
  <mergeCells count="8">
    <mergeCell ref="A27:B27"/>
    <mergeCell ref="A30:B30"/>
    <mergeCell ref="A1:B1"/>
    <mergeCell ref="A3:B3"/>
    <mergeCell ref="A4:B4"/>
    <mergeCell ref="A10:B10"/>
    <mergeCell ref="A16:B16"/>
    <mergeCell ref="A21:B2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752E-CFFD-4EEE-84DF-43EFED67CACE}">
  <sheetPr>
    <pageSetUpPr fitToPage="1"/>
  </sheetPr>
  <dimension ref="B3:I30"/>
  <sheetViews>
    <sheetView showGridLines="0" zoomScaleNormal="100" workbookViewId="0"/>
  </sheetViews>
  <sheetFormatPr defaultColWidth="8.6328125" defaultRowHeight="14.5" x14ac:dyDescent="0.35"/>
  <cols>
    <col min="1" max="1" width="3" customWidth="1"/>
    <col min="2" max="2" width="28" customWidth="1"/>
    <col min="3" max="9" width="20" customWidth="1"/>
    <col min="10" max="10" width="3" customWidth="1"/>
  </cols>
  <sheetData>
    <row r="3" spans="2:9" ht="21.75" customHeight="1" x14ac:dyDescent="0.5">
      <c r="B3" s="61" t="s">
        <v>393</v>
      </c>
    </row>
    <row r="4" spans="2:9" ht="15" customHeight="1" x14ac:dyDescent="0.35">
      <c r="B4" s="62" t="s">
        <v>394</v>
      </c>
    </row>
    <row r="6" spans="2:9" ht="30" customHeight="1" x14ac:dyDescent="0.35">
      <c r="B6" s="169" t="s">
        <v>395</v>
      </c>
      <c r="C6" s="169"/>
      <c r="D6" s="169"/>
      <c r="E6" s="169"/>
      <c r="F6" s="169"/>
      <c r="G6" s="169"/>
      <c r="H6" s="169"/>
      <c r="I6" s="169"/>
    </row>
    <row r="9" spans="2:9" ht="27.75" customHeight="1" x14ac:dyDescent="0.35">
      <c r="B9" s="63" t="s">
        <v>396</v>
      </c>
      <c r="C9" s="166" t="s">
        <v>397</v>
      </c>
      <c r="D9" s="166"/>
      <c r="E9" s="166"/>
      <c r="F9" s="166"/>
      <c r="G9" s="166"/>
      <c r="H9" s="166"/>
      <c r="I9" s="166"/>
    </row>
    <row r="11" spans="2:9" ht="27.75" customHeight="1" x14ac:dyDescent="0.35">
      <c r="B11" s="63" t="s">
        <v>398</v>
      </c>
      <c r="C11" s="166" t="s">
        <v>399</v>
      </c>
      <c r="D11" s="166"/>
      <c r="E11" s="166"/>
      <c r="F11" s="166"/>
      <c r="G11" s="166"/>
      <c r="H11" s="166"/>
      <c r="I11" s="166"/>
    </row>
    <row r="13" spans="2:9" ht="27.75" customHeight="1" x14ac:dyDescent="0.35">
      <c r="B13" s="63" t="s">
        <v>400</v>
      </c>
      <c r="C13" s="166" t="s">
        <v>401</v>
      </c>
      <c r="D13" s="166"/>
      <c r="E13" s="166"/>
      <c r="F13" s="166"/>
      <c r="G13" s="166"/>
      <c r="H13" s="166"/>
      <c r="I13" s="166"/>
    </row>
    <row r="15" spans="2:9" ht="27.75" customHeight="1" x14ac:dyDescent="0.35">
      <c r="B15" s="63" t="s">
        <v>402</v>
      </c>
      <c r="C15" s="166" t="s">
        <v>403</v>
      </c>
      <c r="D15" s="166"/>
      <c r="E15" s="166"/>
      <c r="F15" s="166"/>
      <c r="G15" s="166"/>
      <c r="H15" s="166"/>
      <c r="I15" s="166"/>
    </row>
    <row r="17" spans="2:9" ht="27.75" customHeight="1" x14ac:dyDescent="0.35">
      <c r="B17" s="63" t="s">
        <v>404</v>
      </c>
      <c r="C17" s="166" t="s">
        <v>405</v>
      </c>
      <c r="D17" s="166"/>
      <c r="E17" s="166"/>
      <c r="F17" s="166"/>
      <c r="G17" s="166"/>
      <c r="H17" s="166"/>
      <c r="I17" s="166"/>
    </row>
    <row r="20" spans="2:9" ht="15" customHeight="1" x14ac:dyDescent="0.35">
      <c r="B20" s="63" t="s">
        <v>406</v>
      </c>
    </row>
    <row r="22" spans="2:9" ht="30" customHeight="1" x14ac:dyDescent="0.35">
      <c r="B22" s="63" t="s">
        <v>407</v>
      </c>
      <c r="C22" s="166" t="s">
        <v>408</v>
      </c>
      <c r="D22" s="166"/>
      <c r="E22" s="166"/>
      <c r="F22" s="166"/>
      <c r="G22" s="166"/>
      <c r="H22" s="166"/>
      <c r="I22" s="166"/>
    </row>
    <row r="23" spans="2:9" ht="30" customHeight="1" x14ac:dyDescent="0.35">
      <c r="B23" s="63" t="s">
        <v>409</v>
      </c>
      <c r="C23" s="166" t="s">
        <v>410</v>
      </c>
      <c r="D23" s="166"/>
      <c r="E23" s="166"/>
      <c r="F23" s="166"/>
      <c r="G23" s="166"/>
      <c r="H23" s="166"/>
      <c r="I23" s="166"/>
    </row>
    <row r="24" spans="2:9" ht="30" customHeight="1" x14ac:dyDescent="0.35">
      <c r="B24" s="63" t="s">
        <v>411</v>
      </c>
      <c r="C24" s="166" t="s">
        <v>412</v>
      </c>
      <c r="D24" s="166"/>
      <c r="E24" s="166"/>
      <c r="F24" s="166"/>
      <c r="G24" s="166"/>
      <c r="H24" s="166"/>
      <c r="I24" s="166"/>
    </row>
    <row r="25" spans="2:9" ht="30" customHeight="1" x14ac:dyDescent="0.35">
      <c r="B25" s="63" t="s">
        <v>413</v>
      </c>
      <c r="C25" s="166" t="s">
        <v>414</v>
      </c>
      <c r="D25" s="166"/>
      <c r="E25" s="166"/>
      <c r="F25" s="166"/>
      <c r="G25" s="166"/>
      <c r="H25" s="166"/>
      <c r="I25" s="166"/>
    </row>
    <row r="28" spans="2:9" ht="15" customHeight="1" x14ac:dyDescent="0.35">
      <c r="B28" s="167" t="s">
        <v>415</v>
      </c>
      <c r="C28" s="167"/>
      <c r="D28" s="167"/>
      <c r="E28" s="167"/>
      <c r="F28" s="167"/>
      <c r="G28" s="167"/>
      <c r="H28" s="167"/>
      <c r="I28" s="167"/>
    </row>
    <row r="30" spans="2:9" ht="15" customHeight="1" x14ac:dyDescent="0.35">
      <c r="B30" s="168" t="s">
        <v>416</v>
      </c>
      <c r="C30" s="168"/>
      <c r="D30" s="168"/>
      <c r="E30" s="168"/>
      <c r="F30" s="168"/>
      <c r="G30" s="168"/>
      <c r="H30" s="168"/>
      <c r="I30" s="168"/>
    </row>
  </sheetData>
  <mergeCells count="12">
    <mergeCell ref="B30:I30"/>
    <mergeCell ref="B6:I6"/>
    <mergeCell ref="C9:I9"/>
    <mergeCell ref="C11:I11"/>
    <mergeCell ref="C13:I13"/>
    <mergeCell ref="C15:I15"/>
    <mergeCell ref="C17:I17"/>
    <mergeCell ref="C22:I22"/>
    <mergeCell ref="C23:I23"/>
    <mergeCell ref="C24:I24"/>
    <mergeCell ref="C25:I25"/>
    <mergeCell ref="B28:I28"/>
  </mergeCells>
  <pageMargins left="0.4" right="0.4" top="0.5" bottom="0.5"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7EC8-7E5F-40B5-A96B-6503F16E1B4C}">
  <sheetPr>
    <pageSetUpPr fitToPage="1"/>
  </sheetPr>
  <dimension ref="B2:Q10"/>
  <sheetViews>
    <sheetView showGridLines="0" zoomScaleNormal="100" workbookViewId="0">
      <pane xSplit="2" ySplit="5" topLeftCell="C6" activePane="bottomRight" state="frozen"/>
      <selection pane="topRight"/>
      <selection pane="bottomLeft"/>
      <selection pane="bottomRight"/>
    </sheetView>
  </sheetViews>
  <sheetFormatPr defaultColWidth="8.6328125" defaultRowHeight="14.5" x14ac:dyDescent="0.35"/>
  <cols>
    <col min="1" max="1" width="2" customWidth="1"/>
    <col min="2" max="2" width="22" customWidth="1"/>
    <col min="3" max="11" width="13" customWidth="1"/>
    <col min="12" max="12" width="14" customWidth="1"/>
    <col min="13" max="13" width="13" customWidth="1"/>
    <col min="14" max="14" width="14" customWidth="1"/>
    <col min="15" max="15" width="11" customWidth="1"/>
    <col min="16" max="16" width="13" customWidth="1"/>
    <col min="17" max="17" width="40" customWidth="1"/>
  </cols>
  <sheetData>
    <row r="2" spans="2:17" ht="17.25" customHeight="1" x14ac:dyDescent="0.4">
      <c r="B2" s="64" t="s">
        <v>417</v>
      </c>
    </row>
    <row r="3" spans="2:17" ht="15" customHeight="1" x14ac:dyDescent="0.35">
      <c r="B3" s="167" t="s">
        <v>418</v>
      </c>
      <c r="C3" s="167"/>
      <c r="D3" s="167"/>
      <c r="E3" s="167"/>
      <c r="F3" s="167"/>
      <c r="G3" s="167"/>
      <c r="H3" s="167"/>
      <c r="I3" s="167"/>
      <c r="J3" s="167"/>
      <c r="K3" s="167"/>
      <c r="L3" s="167"/>
      <c r="M3" s="167"/>
      <c r="N3" s="167"/>
      <c r="O3" s="167"/>
      <c r="P3" s="167"/>
      <c r="Q3" s="167"/>
    </row>
    <row r="5" spans="2:17" ht="30" customHeight="1" x14ac:dyDescent="0.35">
      <c r="B5" s="65" t="s">
        <v>419</v>
      </c>
      <c r="C5" s="65" t="s">
        <v>137</v>
      </c>
      <c r="D5" s="65" t="s">
        <v>138</v>
      </c>
      <c r="E5" s="65" t="s">
        <v>236</v>
      </c>
      <c r="F5" s="65" t="s">
        <v>140</v>
      </c>
      <c r="G5" s="65" t="s">
        <v>420</v>
      </c>
      <c r="H5" s="65" t="s">
        <v>421</v>
      </c>
      <c r="I5" s="65" t="s">
        <v>422</v>
      </c>
      <c r="J5" s="65" t="s">
        <v>423</v>
      </c>
      <c r="K5" s="65" t="s">
        <v>424</v>
      </c>
      <c r="L5" s="65" t="s">
        <v>425</v>
      </c>
      <c r="M5" s="65" t="s">
        <v>160</v>
      </c>
      <c r="N5" s="65" t="s">
        <v>426</v>
      </c>
      <c r="O5" s="65" t="s">
        <v>427</v>
      </c>
      <c r="P5" s="65" t="s">
        <v>404</v>
      </c>
    </row>
    <row r="6" spans="2:17" ht="60" customHeight="1" x14ac:dyDescent="0.35">
      <c r="B6" s="66" t="s">
        <v>428</v>
      </c>
      <c r="C6" s="67">
        <v>89913.33</v>
      </c>
      <c r="D6" s="67">
        <v>27317.91</v>
      </c>
      <c r="E6" s="67">
        <v>25607.38</v>
      </c>
      <c r="F6" s="67">
        <v>21018.15</v>
      </c>
      <c r="G6" s="67">
        <v>2186.2199999999998</v>
      </c>
      <c r="H6" s="67">
        <v>21394.1</v>
      </c>
      <c r="I6" s="67">
        <v>1252.95</v>
      </c>
      <c r="J6" s="67">
        <v>278</v>
      </c>
      <c r="K6" s="68">
        <f>I6*J6</f>
        <v>348320.10000000003</v>
      </c>
      <c r="L6" s="68">
        <f>G6-H6</f>
        <v>-19207.879999999997</v>
      </c>
      <c r="M6" s="69">
        <f>K6+L6</f>
        <v>329112.22000000003</v>
      </c>
      <c r="N6" s="68">
        <f>F6/I6</f>
        <v>16.774931162456603</v>
      </c>
      <c r="O6" s="70" t="s">
        <v>429</v>
      </c>
      <c r="P6" s="71" t="s">
        <v>430</v>
      </c>
    </row>
    <row r="7" spans="2:17" ht="60" customHeight="1" x14ac:dyDescent="0.35">
      <c r="B7" s="70" t="s">
        <v>431</v>
      </c>
      <c r="C7" s="67">
        <v>63763</v>
      </c>
      <c r="D7" s="67">
        <v>15054</v>
      </c>
      <c r="E7" s="67">
        <v>13721</v>
      </c>
      <c r="F7" s="67">
        <v>10652</v>
      </c>
      <c r="G7" s="67">
        <v>14</v>
      </c>
      <c r="H7" s="67">
        <v>8250</v>
      </c>
      <c r="I7" s="67">
        <v>234.98</v>
      </c>
      <c r="J7" s="68">
        <f>K7/I7</f>
        <v>2055.9153970550688</v>
      </c>
      <c r="K7" s="67">
        <v>483099</v>
      </c>
      <c r="L7" s="68">
        <f>G7-H7</f>
        <v>-8236</v>
      </c>
      <c r="M7" s="69">
        <f>K7+L7</f>
        <v>474863</v>
      </c>
      <c r="N7" s="68">
        <f>F7/I7</f>
        <v>45.331517575963915</v>
      </c>
      <c r="O7" s="70" t="s">
        <v>429</v>
      </c>
      <c r="P7" s="71" t="s">
        <v>432</v>
      </c>
    </row>
    <row r="8" spans="2:17" ht="60" customHeight="1" x14ac:dyDescent="0.35">
      <c r="B8" s="70" t="s">
        <v>433</v>
      </c>
      <c r="C8" s="67">
        <v>6110</v>
      </c>
      <c r="D8" s="67">
        <v>1335</v>
      </c>
      <c r="E8" s="67">
        <v>1215</v>
      </c>
      <c r="F8" s="67">
        <v>1525</v>
      </c>
      <c r="G8" s="67">
        <v>0</v>
      </c>
      <c r="H8" s="67">
        <v>0</v>
      </c>
      <c r="I8" s="67">
        <v>15.6</v>
      </c>
      <c r="J8" s="68">
        <f>K8/I8</f>
        <v>2293.0128205128208</v>
      </c>
      <c r="K8" s="67">
        <v>35771</v>
      </c>
      <c r="L8" s="68">
        <f>G8-H8</f>
        <v>0</v>
      </c>
      <c r="M8" s="69">
        <f>K8+L8</f>
        <v>35771</v>
      </c>
      <c r="N8" s="68">
        <f>F8/I8</f>
        <v>97.756410256410263</v>
      </c>
      <c r="O8" s="70" t="s">
        <v>429</v>
      </c>
      <c r="P8" s="71" t="s">
        <v>434</v>
      </c>
    </row>
    <row r="9" spans="2:17" ht="60" customHeight="1" x14ac:dyDescent="0.35">
      <c r="B9" s="70" t="s">
        <v>435</v>
      </c>
      <c r="C9" s="67">
        <v>24437</v>
      </c>
      <c r="D9" s="67">
        <v>5670</v>
      </c>
      <c r="E9" s="67">
        <v>4920</v>
      </c>
      <c r="F9" s="67">
        <v>3860</v>
      </c>
      <c r="G9" s="67">
        <v>0</v>
      </c>
      <c r="H9" s="67">
        <v>0</v>
      </c>
      <c r="I9" s="67">
        <v>96.42</v>
      </c>
      <c r="J9" s="68">
        <f>K9/I9</f>
        <v>2997.2619788425636</v>
      </c>
      <c r="K9" s="67">
        <v>288996</v>
      </c>
      <c r="L9" s="68">
        <f>G9-H9</f>
        <v>0</v>
      </c>
      <c r="M9" s="69">
        <f>K9+L9</f>
        <v>288996</v>
      </c>
      <c r="N9" s="68">
        <f>F9/I9</f>
        <v>40.033188135241652</v>
      </c>
      <c r="O9" s="70" t="s">
        <v>429</v>
      </c>
      <c r="P9" s="71" t="s">
        <v>436</v>
      </c>
    </row>
    <row r="10" spans="2:17" ht="60" customHeight="1" x14ac:dyDescent="0.35">
      <c r="B10" s="70" t="s">
        <v>437</v>
      </c>
      <c r="C10" s="67">
        <v>19151.59</v>
      </c>
      <c r="D10" s="67">
        <v>3320.4</v>
      </c>
      <c r="E10" s="67">
        <v>2990</v>
      </c>
      <c r="F10" s="67">
        <v>2537.0100000000002</v>
      </c>
      <c r="G10" s="67">
        <v>0</v>
      </c>
      <c r="H10" s="67">
        <v>0</v>
      </c>
      <c r="I10" s="67">
        <v>24.07</v>
      </c>
      <c r="J10" s="68">
        <f>K10/I10</f>
        <v>5217.0751973410888</v>
      </c>
      <c r="K10" s="67">
        <v>125575</v>
      </c>
      <c r="L10" s="68">
        <f>G10-H10</f>
        <v>0</v>
      </c>
      <c r="M10" s="69">
        <f>K10+L10</f>
        <v>125575</v>
      </c>
      <c r="N10" s="68">
        <f>F10/I10</f>
        <v>105.40132945575405</v>
      </c>
      <c r="O10" s="70" t="s">
        <v>429</v>
      </c>
      <c r="P10" s="71" t="s">
        <v>438</v>
      </c>
    </row>
  </sheetData>
  <mergeCells count="1">
    <mergeCell ref="B3:Q3"/>
  </mergeCells>
  <pageMargins left="0.4" right="0.4" top="0.5" bottom="0.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4480A-5E4C-4E7A-821A-6E162640F26E}">
  <sheetPr>
    <pageSetUpPr fitToPage="1"/>
  </sheetPr>
  <dimension ref="B2:F17"/>
  <sheetViews>
    <sheetView showGridLines="0" zoomScaleNormal="100" workbookViewId="0"/>
  </sheetViews>
  <sheetFormatPr defaultColWidth="8.6328125" defaultRowHeight="14.5" x14ac:dyDescent="0.35"/>
  <cols>
    <col min="1" max="1" width="2" customWidth="1"/>
    <col min="2" max="2" width="26" customWidth="1"/>
    <col min="3" max="6" width="16" customWidth="1"/>
    <col min="7" max="7" width="3" customWidth="1"/>
  </cols>
  <sheetData>
    <row r="2" spans="2:6" ht="17.25" customHeight="1" x14ac:dyDescent="0.4">
      <c r="B2" s="64" t="s">
        <v>439</v>
      </c>
    </row>
    <row r="3" spans="2:6" ht="27.75" customHeight="1" x14ac:dyDescent="0.35">
      <c r="B3" s="170" t="s">
        <v>440</v>
      </c>
      <c r="C3" s="170"/>
      <c r="D3" s="170"/>
      <c r="E3" s="170"/>
      <c r="F3" s="170"/>
    </row>
    <row r="6" spans="2:6" ht="24" customHeight="1" x14ac:dyDescent="0.35">
      <c r="B6" s="65" t="s">
        <v>419</v>
      </c>
      <c r="C6" s="65" t="s">
        <v>441</v>
      </c>
      <c r="D6" s="65" t="s">
        <v>442</v>
      </c>
      <c r="E6" s="65" t="s">
        <v>443</v>
      </c>
      <c r="F6" s="65" t="s">
        <v>444</v>
      </c>
    </row>
    <row r="7" spans="2:6" ht="15" customHeight="1" x14ac:dyDescent="0.35">
      <c r="B7" s="72" t="str">
        <f>'Peer Data'!B6</f>
        <v>ITC Limited (for reference)</v>
      </c>
      <c r="C7" s="73">
        <f>'Peer Data'!M6/'Peer Data'!C6</f>
        <v>3.6603273396725493</v>
      </c>
      <c r="D7" s="73">
        <f>'Peer Data'!M6/'Peer Data'!D6</f>
        <v>12.047488991654195</v>
      </c>
      <c r="E7" s="73">
        <f>'Peer Data'!M6/'Peer Data'!E6</f>
        <v>12.852241033639523</v>
      </c>
      <c r="F7" s="73">
        <f>'Peer Data'!J6/'Peer Data'!N6</f>
        <v>16.572348184783152</v>
      </c>
    </row>
    <row r="8" spans="2:6" ht="15" customHeight="1" x14ac:dyDescent="0.35">
      <c r="B8" s="74" t="str">
        <f>'Peer Data'!B7</f>
        <v>Hindustan Unilever Ltd.</v>
      </c>
      <c r="C8" s="75">
        <f>'Peer Data'!M7/'Peer Data'!C7</f>
        <v>7.4473127048601855</v>
      </c>
      <c r="D8" s="75">
        <f>'Peer Data'!M7/'Peer Data'!D7</f>
        <v>31.543975023249633</v>
      </c>
      <c r="E8" s="75">
        <f>'Peer Data'!M7/'Peer Data'!E7</f>
        <v>34.608483346694847</v>
      </c>
      <c r="F8" s="75">
        <f>'Peer Data'!J7/'Peer Data'!N7</f>
        <v>45.352891475779202</v>
      </c>
    </row>
    <row r="9" spans="2:6" ht="15" customHeight="1" x14ac:dyDescent="0.35">
      <c r="B9" s="74" t="str">
        <f>'Peer Data'!B8</f>
        <v>Godfrey Phillips India Ltd.</v>
      </c>
      <c r="C9" s="75">
        <f>'Peer Data'!M8/'Peer Data'!C8</f>
        <v>5.8545008183306058</v>
      </c>
      <c r="D9" s="75">
        <f>'Peer Data'!M8/'Peer Data'!D8</f>
        <v>26.794756554307117</v>
      </c>
      <c r="E9" s="75">
        <f>'Peer Data'!M8/'Peer Data'!E8</f>
        <v>29.441152263374487</v>
      </c>
      <c r="F9" s="75">
        <f>'Peer Data'!J8/'Peer Data'!N8</f>
        <v>23.456393442622954</v>
      </c>
    </row>
    <row r="10" spans="2:6" ht="15" customHeight="1" x14ac:dyDescent="0.35">
      <c r="B10" s="74" t="str">
        <f>'Peer Data'!B9</f>
        <v>Nestlé India Ltd.</v>
      </c>
      <c r="C10" s="75">
        <f>'Peer Data'!M9/'Peer Data'!C9</f>
        <v>11.826165241232557</v>
      </c>
      <c r="D10" s="75">
        <f>'Peer Data'!M9/'Peer Data'!D9</f>
        <v>50.969312169312168</v>
      </c>
      <c r="E10" s="75">
        <f>'Peer Data'!M9/'Peer Data'!E9</f>
        <v>58.739024390243905</v>
      </c>
      <c r="F10" s="75">
        <f>'Peer Data'!J9/'Peer Data'!N9</f>
        <v>74.869430051813467</v>
      </c>
    </row>
    <row r="11" spans="2:6" ht="15" customHeight="1" x14ac:dyDescent="0.35">
      <c r="B11" s="74" t="str">
        <f>'Peer Data'!B10</f>
        <v>Britannia Industries Ltd.</v>
      </c>
      <c r="C11" s="75">
        <f>'Peer Data'!M10/'Peer Data'!C10</f>
        <v>6.5568968425075935</v>
      </c>
      <c r="D11" s="75">
        <f>'Peer Data'!M10/'Peer Data'!D10</f>
        <v>37.819238645946271</v>
      </c>
      <c r="E11" s="75">
        <f>'Peer Data'!M10/'Peer Data'!E10</f>
        <v>41.998327759197323</v>
      </c>
      <c r="F11" s="75">
        <f>'Peer Data'!J10/'Peer Data'!N10</f>
        <v>49.497242817332214</v>
      </c>
    </row>
    <row r="12" spans="2:6" ht="15" customHeight="1" x14ac:dyDescent="0.35">
      <c r="B12" s="63" t="s">
        <v>445</v>
      </c>
    </row>
    <row r="14" spans="2:6" ht="15" customHeight="1" x14ac:dyDescent="0.35">
      <c r="B14" s="76" t="s">
        <v>446</v>
      </c>
      <c r="C14" s="77">
        <f>AVERAGE(C8:C11)</f>
        <v>7.9212189017327352</v>
      </c>
      <c r="D14" s="77">
        <f>AVERAGE(D8:D11)</f>
        <v>36.781820598203794</v>
      </c>
      <c r="E14" s="77">
        <f>AVERAGE(E8:E11)</f>
        <v>41.196746939877642</v>
      </c>
      <c r="F14" s="77">
        <f>AVERAGE(F8:F11)</f>
        <v>48.293989446886961</v>
      </c>
    </row>
    <row r="15" spans="2:6" ht="15" customHeight="1" x14ac:dyDescent="0.35">
      <c r="B15" s="76" t="s">
        <v>447</v>
      </c>
      <c r="C15" s="77">
        <f>MEDIAN(C8:C11)</f>
        <v>7.0021047736838895</v>
      </c>
      <c r="D15" s="77">
        <f>MEDIAN(D8:D11)</f>
        <v>34.68160683459795</v>
      </c>
      <c r="E15" s="77">
        <f>MEDIAN(E8:E11)</f>
        <v>38.303405552946089</v>
      </c>
      <c r="F15" s="77">
        <f>MEDIAN(F8:F11)</f>
        <v>47.425067146555705</v>
      </c>
    </row>
    <row r="16" spans="2:6" ht="15" customHeight="1" x14ac:dyDescent="0.35">
      <c r="B16" s="76" t="s">
        <v>448</v>
      </c>
      <c r="C16" s="77">
        <f>MIN(C8:C11)</f>
        <v>5.8545008183306058</v>
      </c>
      <c r="D16" s="77">
        <f>MIN(D8:D11)</f>
        <v>26.794756554307117</v>
      </c>
      <c r="E16" s="77">
        <f>MIN(E8:E11)</f>
        <v>29.441152263374487</v>
      </c>
      <c r="F16" s="77">
        <f>MIN(F8:F11)</f>
        <v>23.456393442622954</v>
      </c>
    </row>
    <row r="17" spans="2:6" ht="15" customHeight="1" x14ac:dyDescent="0.35">
      <c r="B17" s="76" t="s">
        <v>449</v>
      </c>
      <c r="C17" s="77">
        <f>MAX(C8:C11)</f>
        <v>11.826165241232557</v>
      </c>
      <c r="D17" s="77">
        <f>MAX(D8:D11)</f>
        <v>50.969312169312168</v>
      </c>
      <c r="E17" s="77">
        <f>MAX(E8:E11)</f>
        <v>58.739024390243905</v>
      </c>
      <c r="F17" s="77">
        <f>MAX(F8:F11)</f>
        <v>74.869430051813467</v>
      </c>
    </row>
  </sheetData>
  <mergeCells count="1">
    <mergeCell ref="B3:F3"/>
  </mergeCells>
  <pageMargins left="0.4" right="0.4" top="0.5" bottom="0.5" header="0.511811023622047" footer="0.511811023622047"/>
  <pageSetup paperSize="9"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76D6-72BA-460A-8B9B-3385B4ACB86E}">
  <sheetPr>
    <pageSetUpPr fitToPage="1"/>
  </sheetPr>
  <dimension ref="B2:G37"/>
  <sheetViews>
    <sheetView showGridLines="0" zoomScaleNormal="100" workbookViewId="0"/>
  </sheetViews>
  <sheetFormatPr defaultColWidth="8.6328125" defaultRowHeight="14.5" x14ac:dyDescent="0.35"/>
  <cols>
    <col min="1" max="1" width="2" customWidth="1"/>
    <col min="2" max="6" width="34" customWidth="1"/>
    <col min="7" max="7" width="20" customWidth="1"/>
  </cols>
  <sheetData>
    <row r="2" spans="2:7" ht="17.25" customHeight="1" x14ac:dyDescent="0.4">
      <c r="B2" s="64" t="s">
        <v>450</v>
      </c>
    </row>
    <row r="3" spans="2:7" ht="42" customHeight="1" x14ac:dyDescent="0.35">
      <c r="B3" s="170" t="s">
        <v>451</v>
      </c>
      <c r="C3" s="170"/>
      <c r="D3" s="170"/>
      <c r="E3" s="170"/>
      <c r="F3" s="170"/>
    </row>
    <row r="5" spans="2:7" ht="15" customHeight="1" x14ac:dyDescent="0.35">
      <c r="B5" s="63" t="s">
        <v>452</v>
      </c>
    </row>
    <row r="6" spans="2:7" ht="15" customHeight="1" x14ac:dyDescent="0.35">
      <c r="B6" s="78" t="s">
        <v>453</v>
      </c>
      <c r="C6" s="79">
        <f>'Peer Data'!C6</f>
        <v>89913.33</v>
      </c>
    </row>
    <row r="7" spans="2:7" ht="15" customHeight="1" x14ac:dyDescent="0.35">
      <c r="B7" s="78" t="s">
        <v>454</v>
      </c>
      <c r="C7" s="79">
        <f>'Peer Data'!D6</f>
        <v>27317.91</v>
      </c>
    </row>
    <row r="8" spans="2:7" ht="15" customHeight="1" x14ac:dyDescent="0.35">
      <c r="B8" s="78" t="s">
        <v>455</v>
      </c>
      <c r="C8" s="79">
        <f>'Peer Data'!E6</f>
        <v>25607.38</v>
      </c>
    </row>
    <row r="9" spans="2:7" ht="15" customHeight="1" x14ac:dyDescent="0.35">
      <c r="B9" s="78" t="s">
        <v>426</v>
      </c>
      <c r="C9" s="79">
        <f>'Peer Data'!N6</f>
        <v>16.774931162456603</v>
      </c>
    </row>
    <row r="10" spans="2:7" ht="15" customHeight="1" x14ac:dyDescent="0.35">
      <c r="B10" s="78" t="s">
        <v>456</v>
      </c>
      <c r="C10" s="79">
        <f>'Peer Data'!L6</f>
        <v>-19207.879999999997</v>
      </c>
    </row>
    <row r="11" spans="2:7" ht="15" customHeight="1" x14ac:dyDescent="0.35">
      <c r="B11" s="78" t="s">
        <v>457</v>
      </c>
      <c r="C11" s="79">
        <f>'Peer Data'!I6</f>
        <v>1252.95</v>
      </c>
    </row>
    <row r="12" spans="2:7" ht="15" customHeight="1" x14ac:dyDescent="0.35">
      <c r="B12" s="78" t="s">
        <v>458</v>
      </c>
      <c r="C12" s="79">
        <f>'Peer Data'!J6</f>
        <v>278</v>
      </c>
    </row>
    <row r="13" spans="2:7" ht="15" customHeight="1" x14ac:dyDescent="0.35">
      <c r="B13" s="63" t="s">
        <v>459</v>
      </c>
    </row>
    <row r="14" spans="2:7" ht="30" customHeight="1" x14ac:dyDescent="0.35">
      <c r="B14" s="65" t="s">
        <v>460</v>
      </c>
      <c r="C14" s="65" t="s">
        <v>441</v>
      </c>
      <c r="D14" s="65" t="s">
        <v>442</v>
      </c>
      <c r="E14" s="65" t="s">
        <v>443</v>
      </c>
      <c r="F14" s="65" t="s">
        <v>444</v>
      </c>
      <c r="G14" s="65" t="s">
        <v>461</v>
      </c>
    </row>
    <row r="15" spans="2:7" ht="15" customHeight="1" x14ac:dyDescent="0.35">
      <c r="B15" s="66" t="s">
        <v>446</v>
      </c>
      <c r="C15" s="68">
        <f>('CCA Multiples'!C14*$C$6-$C$10)/$C$11</f>
        <v>583.76714881977171</v>
      </c>
      <c r="D15" s="68">
        <f>('CCA Multiples'!D14*$C$7-$C$10)/$C$11</f>
        <v>817.2794961793187</v>
      </c>
      <c r="E15" s="68">
        <f>('CCA Multiples'!E14*$C$8-$C$10)/$C$11</f>
        <v>857.29568909635964</v>
      </c>
      <c r="F15" s="68">
        <f>'CCA Multiples'!F14*$C$9</f>
        <v>810.12834853193442</v>
      </c>
      <c r="G15" s="69">
        <f>AVERAGE(C15:F15)</f>
        <v>767.11767065684614</v>
      </c>
    </row>
    <row r="16" spans="2:7" ht="15" customHeight="1" x14ac:dyDescent="0.35">
      <c r="B16" s="66" t="s">
        <v>447</v>
      </c>
      <c r="C16" s="68">
        <f>('CCA Multiples'!C15*$C$6-$C$10)/$C$11</f>
        <v>517.81031741954178</v>
      </c>
      <c r="D16" s="68">
        <f>('CCA Multiples'!D15*$C$7-$C$10)/$C$11</f>
        <v>771.48880175819602</v>
      </c>
      <c r="E16" s="68">
        <f>('CCA Multiples'!E15*$C$8-$C$10)/$C$11</f>
        <v>798.16252946119209</v>
      </c>
      <c r="F16" s="68">
        <f>'CCA Multiples'!F15*$C$9</f>
        <v>795.55223675835418</v>
      </c>
      <c r="G16" s="69">
        <f>AVERAGE(C16:F16)</f>
        <v>720.75347134932099</v>
      </c>
    </row>
    <row r="17" spans="2:7" ht="15" customHeight="1" x14ac:dyDescent="0.35">
      <c r="B17" s="66" t="s">
        <v>448</v>
      </c>
      <c r="C17" s="68">
        <f>('CCA Multiples'!C16*$C$6-$C$10)/$C$11</f>
        <v>435.45675730382681</v>
      </c>
      <c r="D17" s="68">
        <f>('CCA Multiples'!D16*$C$7-$C$10)/$C$11</f>
        <v>599.53280499818175</v>
      </c>
      <c r="E17" s="68">
        <f>('CCA Multiples'!E16*$C$8-$C$10)/$C$11</f>
        <v>617.03871155759657</v>
      </c>
      <c r="F17" s="68">
        <f>'CCA Multiples'!F16*$C$9</f>
        <v>393.47938531949853</v>
      </c>
      <c r="G17" s="69">
        <f>AVERAGE(C17:F17)</f>
        <v>511.37691479477593</v>
      </c>
    </row>
    <row r="18" spans="2:7" ht="15" customHeight="1" x14ac:dyDescent="0.35">
      <c r="B18" s="66" t="s">
        <v>449</v>
      </c>
      <c r="C18" s="68">
        <f>('CCA Multiples'!C17*$C$6-$C$10)/$C$11</f>
        <v>863.99120313617652</v>
      </c>
      <c r="D18" s="68">
        <f>('CCA Multiples'!D17*$C$7-$C$10)/$C$11</f>
        <v>1126.607576202701</v>
      </c>
      <c r="E18" s="68">
        <f>('CCA Multiples'!E17*$C$8-$C$10)/$C$11</f>
        <v>1215.8189859054582</v>
      </c>
      <c r="F18" s="68">
        <f>'CCA Multiples'!F17*$C$9</f>
        <v>1255.9295352915306</v>
      </c>
      <c r="G18" s="69">
        <f>AVERAGE(C18:F18)</f>
        <v>1115.5868251339666</v>
      </c>
    </row>
    <row r="20" spans="2:7" ht="15" customHeight="1" x14ac:dyDescent="0.35">
      <c r="B20" s="63" t="s">
        <v>462</v>
      </c>
    </row>
    <row r="21" spans="2:7" ht="15" customHeight="1" x14ac:dyDescent="0.35">
      <c r="B21" s="65" t="s">
        <v>165</v>
      </c>
      <c r="C21" s="65" t="s">
        <v>463</v>
      </c>
    </row>
    <row r="22" spans="2:7" ht="15" customHeight="1" x14ac:dyDescent="0.35">
      <c r="B22" s="70" t="s">
        <v>464</v>
      </c>
      <c r="C22" s="80">
        <f>MIN(C15:F18)</f>
        <v>393.47938531949853</v>
      </c>
    </row>
    <row r="23" spans="2:7" ht="15" customHeight="1" x14ac:dyDescent="0.35">
      <c r="B23" s="70" t="s">
        <v>465</v>
      </c>
      <c r="C23" s="80">
        <f>MAX(C15:F18)</f>
        <v>1255.9295352915306</v>
      </c>
    </row>
    <row r="24" spans="2:7" ht="15" customHeight="1" x14ac:dyDescent="0.35">
      <c r="B24" s="70" t="s">
        <v>466</v>
      </c>
      <c r="C24" s="80">
        <f>G15</f>
        <v>767.11767065684614</v>
      </c>
    </row>
    <row r="26" spans="2:7" ht="15" customHeight="1" x14ac:dyDescent="0.35">
      <c r="B26" s="78" t="s">
        <v>467</v>
      </c>
      <c r="C26" s="81">
        <f>$C$12</f>
        <v>278</v>
      </c>
    </row>
    <row r="27" spans="2:7" ht="15" customHeight="1" x14ac:dyDescent="0.35">
      <c r="B27" s="78" t="s">
        <v>468</v>
      </c>
      <c r="C27" s="82">
        <f>C24/C26-1</f>
        <v>1.7594160814994466</v>
      </c>
    </row>
    <row r="28" spans="2:7" ht="15" customHeight="1" x14ac:dyDescent="0.35">
      <c r="B28" s="78" t="s">
        <v>469</v>
      </c>
      <c r="C28" s="83">
        <v>338.25</v>
      </c>
    </row>
    <row r="31" spans="2:7" ht="210" customHeight="1" x14ac:dyDescent="0.35">
      <c r="B31" s="171" t="s">
        <v>470</v>
      </c>
      <c r="C31" s="171"/>
      <c r="D31" s="171"/>
      <c r="E31" s="171"/>
      <c r="F31" s="171"/>
      <c r="G31" s="171"/>
    </row>
    <row r="32" spans="2:7" ht="15" customHeight="1" x14ac:dyDescent="0.35">
      <c r="B32" s="171"/>
      <c r="C32" s="171"/>
      <c r="D32" s="171"/>
      <c r="E32" s="171"/>
      <c r="F32" s="171"/>
      <c r="G32" s="171"/>
    </row>
    <row r="33" spans="2:7" ht="15" customHeight="1" x14ac:dyDescent="0.35">
      <c r="B33" s="171"/>
      <c r="C33" s="171"/>
      <c r="D33" s="171"/>
      <c r="E33" s="171"/>
      <c r="F33" s="171"/>
      <c r="G33" s="171"/>
    </row>
    <row r="34" spans="2:7" ht="15" customHeight="1" x14ac:dyDescent="0.35">
      <c r="B34" s="171"/>
      <c r="C34" s="171"/>
      <c r="D34" s="171"/>
      <c r="E34" s="171"/>
      <c r="F34" s="171"/>
      <c r="G34" s="171"/>
    </row>
    <row r="35" spans="2:7" ht="15" customHeight="1" x14ac:dyDescent="0.35">
      <c r="B35" s="171"/>
      <c r="C35" s="171"/>
      <c r="D35" s="171"/>
      <c r="E35" s="171"/>
      <c r="F35" s="171"/>
      <c r="G35" s="171"/>
    </row>
    <row r="36" spans="2:7" ht="15" customHeight="1" x14ac:dyDescent="0.35">
      <c r="B36" s="171"/>
      <c r="C36" s="171"/>
      <c r="D36" s="171"/>
      <c r="E36" s="171"/>
      <c r="F36" s="171"/>
      <c r="G36" s="171"/>
    </row>
    <row r="37" spans="2:7" ht="15" customHeight="1" x14ac:dyDescent="0.35">
      <c r="B37" s="171"/>
      <c r="C37" s="171"/>
      <c r="D37" s="171"/>
      <c r="E37" s="171"/>
      <c r="F37" s="171"/>
      <c r="G37" s="171"/>
    </row>
  </sheetData>
  <mergeCells count="2">
    <mergeCell ref="B3:F3"/>
    <mergeCell ref="B31:G37"/>
  </mergeCells>
  <pageMargins left="0.4" right="0.4" top="0.5" bottom="0.5" header="0.511811023622047" footer="0.511811023622047"/>
  <pageSetup paperSize="9"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509D-B57A-413B-A3AA-A516221E3473}">
  <sheetPr>
    <pageSetUpPr fitToPage="1"/>
  </sheetPr>
  <dimension ref="B2:C12"/>
  <sheetViews>
    <sheetView showGridLines="0" zoomScaleNormal="100" workbookViewId="0"/>
  </sheetViews>
  <sheetFormatPr defaultColWidth="8.6328125" defaultRowHeight="14.5" x14ac:dyDescent="0.35"/>
  <cols>
    <col min="1" max="1" width="2" customWidth="1"/>
    <col min="2" max="2" width="30" customWidth="1"/>
    <col min="3" max="3" width="90" customWidth="1"/>
  </cols>
  <sheetData>
    <row r="2" spans="2:3" ht="17.25" customHeight="1" x14ac:dyDescent="0.4">
      <c r="B2" s="64" t="s">
        <v>471</v>
      </c>
    </row>
    <row r="3" spans="2:3" ht="27.75" customHeight="1" x14ac:dyDescent="0.35">
      <c r="B3" s="170" t="s">
        <v>472</v>
      </c>
      <c r="C3" s="170"/>
    </row>
    <row r="5" spans="2:3" ht="109.5" customHeight="1" x14ac:dyDescent="0.35">
      <c r="B5" s="84" t="s">
        <v>473</v>
      </c>
      <c r="C5" s="85" t="s">
        <v>474</v>
      </c>
    </row>
    <row r="6" spans="2:3" ht="109.5" customHeight="1" x14ac:dyDescent="0.35">
      <c r="B6" s="84" t="s">
        <v>475</v>
      </c>
      <c r="C6" s="85" t="s">
        <v>476</v>
      </c>
    </row>
    <row r="7" spans="2:3" ht="109.5" customHeight="1" x14ac:dyDescent="0.35">
      <c r="B7" s="84" t="s">
        <v>477</v>
      </c>
      <c r="C7" s="85" t="s">
        <v>478</v>
      </c>
    </row>
    <row r="8" spans="2:3" ht="109.5" customHeight="1" x14ac:dyDescent="0.35">
      <c r="B8" s="84" t="s">
        <v>479</v>
      </c>
      <c r="C8" s="85" t="s">
        <v>480</v>
      </c>
    </row>
    <row r="9" spans="2:3" ht="109.5" customHeight="1" x14ac:dyDescent="0.35">
      <c r="B9" s="84" t="s">
        <v>481</v>
      </c>
      <c r="C9" s="85" t="s">
        <v>482</v>
      </c>
    </row>
    <row r="10" spans="2:3" ht="109.5" customHeight="1" x14ac:dyDescent="0.35">
      <c r="B10" s="84" t="s">
        <v>483</v>
      </c>
      <c r="C10" s="85" t="s">
        <v>484</v>
      </c>
    </row>
    <row r="11" spans="2:3" ht="109.5" customHeight="1" x14ac:dyDescent="0.35">
      <c r="B11" s="84" t="s">
        <v>485</v>
      </c>
      <c r="C11" s="85" t="s">
        <v>486</v>
      </c>
    </row>
    <row r="12" spans="2:3" ht="109.5" customHeight="1" x14ac:dyDescent="0.35">
      <c r="B12" s="84" t="s">
        <v>487</v>
      </c>
      <c r="C12" s="85" t="s">
        <v>488</v>
      </c>
    </row>
  </sheetData>
  <mergeCells count="1">
    <mergeCell ref="B3:C3"/>
  </mergeCells>
  <pageMargins left="0.4" right="0.4" top="0.5" bottom="0.5" header="0.511811023622047" footer="0.511811023622047"/>
  <pageSetup paperSize="9"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1:N34"/>
  <sheetViews>
    <sheetView showGridLines="0" topLeftCell="A11" zoomScale="79" zoomScaleNormal="79" workbookViewId="0">
      <selection activeCell="C16" sqref="C16"/>
    </sheetView>
  </sheetViews>
  <sheetFormatPr defaultColWidth="8.7265625" defaultRowHeight="14.5" x14ac:dyDescent="0.35"/>
  <cols>
    <col min="1" max="1" width="4" style="1" customWidth="1"/>
    <col min="2" max="2" width="3" style="1" customWidth="1"/>
    <col min="3" max="3" width="22" style="1" customWidth="1"/>
    <col min="4" max="4" width="14" style="1" customWidth="1"/>
    <col min="5" max="5" width="8" style="1" customWidth="1"/>
    <col min="6" max="6" width="6" style="1" customWidth="1"/>
    <col min="7" max="10" width="3" style="1" customWidth="1"/>
    <col min="11" max="11" width="10" style="1" customWidth="1"/>
    <col min="12" max="12" width="3" style="1" customWidth="1"/>
    <col min="13" max="13" width="22" style="1" customWidth="1"/>
    <col min="14" max="14" width="3" style="1" customWidth="1"/>
  </cols>
  <sheetData>
    <row r="11" spans="3:14" ht="24" customHeight="1" x14ac:dyDescent="0.8">
      <c r="C11" s="2" t="s">
        <v>0</v>
      </c>
      <c r="N11" s="3" t="s">
        <v>1</v>
      </c>
    </row>
    <row r="14" spans="3:14" ht="17.25" customHeight="1" x14ac:dyDescent="0.55000000000000004">
      <c r="C14" s="4" t="s">
        <v>2</v>
      </c>
      <c r="K14" s="4" t="s">
        <v>3</v>
      </c>
    </row>
    <row r="16" spans="3:14" ht="15" customHeight="1" x14ac:dyDescent="0.5">
      <c r="C16" s="5" t="s">
        <v>4</v>
      </c>
      <c r="K16" s="6" t="s">
        <v>5</v>
      </c>
      <c r="N16" s="7">
        <f>IF(SUM(Model!$F$114:$O$114)&lt;&gt;0,1,0)</f>
        <v>0</v>
      </c>
    </row>
    <row r="17" spans="3:14" ht="15" customHeight="1" x14ac:dyDescent="0.5">
      <c r="C17" s="5" t="s">
        <v>6</v>
      </c>
      <c r="K17" s="6" t="s">
        <v>7</v>
      </c>
      <c r="N17" s="7">
        <f>IF(COUNTIF(Model!$B$1:$P$450,"#REF!")&gt;0,1,0)</f>
        <v>0</v>
      </c>
    </row>
    <row r="18" spans="3:14" ht="15" customHeight="1" x14ac:dyDescent="0.5">
      <c r="C18" s="5" t="s">
        <v>8</v>
      </c>
      <c r="K18" s="6" t="s">
        <v>9</v>
      </c>
      <c r="N18" s="7">
        <f>IF(Model!$O$282&lt;&gt;0,1,0)</f>
        <v>1</v>
      </c>
    </row>
    <row r="21" spans="3:14" ht="17.25" customHeight="1" x14ac:dyDescent="0.55000000000000004">
      <c r="C21" s="4" t="s">
        <v>10</v>
      </c>
    </row>
    <row r="23" spans="3:14" ht="31.5" customHeight="1" x14ac:dyDescent="0.35">
      <c r="C23" s="172" t="s">
        <v>11</v>
      </c>
      <c r="D23" s="172"/>
      <c r="E23" s="172"/>
      <c r="F23" s="172"/>
      <c r="G23" s="172"/>
      <c r="H23" s="172"/>
      <c r="I23" s="172"/>
      <c r="J23" s="172"/>
      <c r="K23" s="172"/>
      <c r="L23" s="172"/>
      <c r="M23" s="172"/>
      <c r="N23" s="172"/>
    </row>
    <row r="25" spans="3:14" ht="31.5" customHeight="1" x14ac:dyDescent="0.35">
      <c r="C25" s="172" t="s">
        <v>12</v>
      </c>
      <c r="D25" s="172"/>
      <c r="E25" s="172"/>
      <c r="F25" s="172"/>
      <c r="G25" s="172"/>
      <c r="H25" s="172"/>
      <c r="I25" s="172"/>
      <c r="J25" s="172"/>
      <c r="K25" s="172"/>
      <c r="L25" s="172"/>
      <c r="M25" s="172"/>
      <c r="N25" s="172"/>
    </row>
    <row r="27" spans="3:14" ht="31.5" customHeight="1" x14ac:dyDescent="0.35">
      <c r="C27" s="172" t="s">
        <v>13</v>
      </c>
      <c r="D27" s="172"/>
      <c r="E27" s="172"/>
      <c r="F27" s="172"/>
      <c r="G27" s="172"/>
      <c r="H27" s="172"/>
      <c r="I27" s="172"/>
      <c r="J27" s="172"/>
      <c r="K27" s="172"/>
      <c r="L27" s="172"/>
      <c r="M27" s="172"/>
      <c r="N27" s="172"/>
    </row>
    <row r="29" spans="3:14" ht="31.5" customHeight="1" x14ac:dyDescent="0.35">
      <c r="C29" s="172" t="s">
        <v>14</v>
      </c>
      <c r="D29" s="172"/>
      <c r="E29" s="172"/>
      <c r="F29" s="172"/>
      <c r="G29" s="172"/>
      <c r="H29" s="172"/>
      <c r="I29" s="172"/>
      <c r="J29" s="172"/>
      <c r="K29" s="172"/>
      <c r="L29" s="172"/>
      <c r="M29" s="172"/>
      <c r="N29" s="172"/>
    </row>
    <row r="31" spans="3:14" ht="31.5" customHeight="1" x14ac:dyDescent="0.35">
      <c r="C31" s="172" t="s">
        <v>15</v>
      </c>
      <c r="D31" s="172"/>
      <c r="E31" s="172"/>
      <c r="F31" s="172"/>
      <c r="G31" s="172"/>
      <c r="H31" s="172"/>
      <c r="I31" s="172"/>
      <c r="J31" s="172"/>
      <c r="K31" s="172"/>
      <c r="L31" s="172"/>
      <c r="M31" s="172"/>
      <c r="N31" s="172"/>
    </row>
    <row r="34" spans="3:3" ht="15" customHeight="1" x14ac:dyDescent="0.35">
      <c r="C34" s="8" t="s">
        <v>16</v>
      </c>
    </row>
  </sheetData>
  <mergeCells count="5">
    <mergeCell ref="C23:N23"/>
    <mergeCell ref="C25:N25"/>
    <mergeCell ref="C27:N27"/>
    <mergeCell ref="C29:N29"/>
    <mergeCell ref="C31:N31"/>
  </mergeCells>
  <pageMargins left="0.75" right="0.75" top="1" bottom="1" header="0.511811023622047" footer="0.511811023622047"/>
  <pageSetup paperSize="9"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68"/>
  <sheetViews>
    <sheetView showGridLines="0" zoomScaleNormal="100" workbookViewId="0">
      <pane xSplit="1" ySplit="3" topLeftCell="B8" activePane="bottomRight" state="frozen"/>
      <selection pane="topRight" activeCell="B1" sqref="B1"/>
      <selection pane="bottomLeft" activeCell="A8" sqref="A8"/>
      <selection pane="bottomRight" activeCell="C62" sqref="C62"/>
    </sheetView>
  </sheetViews>
  <sheetFormatPr defaultColWidth="8.6328125" defaultRowHeight="14.5" x14ac:dyDescent="0.35"/>
  <cols>
    <col min="1" max="1" width="2" style="1" customWidth="1"/>
    <col min="2" max="2" width="30" style="1" customWidth="1"/>
    <col min="3" max="3" width="70" style="1" customWidth="1"/>
    <col min="4" max="4" width="55" style="1" customWidth="1"/>
  </cols>
  <sheetData>
    <row r="2" spans="2:4" ht="18.75" customHeight="1" x14ac:dyDescent="0.45">
      <c r="B2" s="9" t="s">
        <v>17</v>
      </c>
    </row>
    <row r="4" spans="2:4" ht="75" customHeight="1" x14ac:dyDescent="0.35">
      <c r="B4" s="173" t="s">
        <v>18</v>
      </c>
      <c r="C4" s="173"/>
      <c r="D4" s="173"/>
    </row>
    <row r="6" spans="2:4" ht="15" customHeight="1" x14ac:dyDescent="0.35">
      <c r="B6" s="10" t="s">
        <v>19</v>
      </c>
      <c r="C6" s="11"/>
      <c r="D6" s="11"/>
    </row>
    <row r="7" spans="2:4" ht="75" customHeight="1" x14ac:dyDescent="0.35">
      <c r="B7" s="12" t="s">
        <v>20</v>
      </c>
      <c r="C7" s="12" t="s">
        <v>21</v>
      </c>
      <c r="D7" s="12"/>
    </row>
    <row r="8" spans="2:4" ht="120" customHeight="1" x14ac:dyDescent="0.35">
      <c r="B8" s="12" t="s">
        <v>22</v>
      </c>
      <c r="C8" s="12" t="s">
        <v>23</v>
      </c>
      <c r="D8" s="12"/>
    </row>
    <row r="10" spans="2:4" ht="15" customHeight="1" x14ac:dyDescent="0.35">
      <c r="B10" s="10" t="s">
        <v>24</v>
      </c>
      <c r="C10" s="11"/>
      <c r="D10" s="11"/>
    </row>
    <row r="11" spans="2:4" ht="90" customHeight="1" x14ac:dyDescent="0.35">
      <c r="B11" s="12" t="s">
        <v>25</v>
      </c>
      <c r="C11" s="12" t="s">
        <v>26</v>
      </c>
      <c r="D11" s="12"/>
    </row>
    <row r="12" spans="2:4" ht="120" customHeight="1" x14ac:dyDescent="0.35">
      <c r="B12" s="12" t="s">
        <v>27</v>
      </c>
      <c r="C12" s="12" t="s">
        <v>28</v>
      </c>
      <c r="D12" s="12"/>
    </row>
    <row r="13" spans="2:4" ht="120" customHeight="1" x14ac:dyDescent="0.35">
      <c r="B13" s="12" t="s">
        <v>29</v>
      </c>
      <c r="C13" s="12" t="s">
        <v>30</v>
      </c>
      <c r="D13" s="12"/>
    </row>
    <row r="15" spans="2:4" ht="15" customHeight="1" x14ac:dyDescent="0.35">
      <c r="B15" s="10" t="s">
        <v>31</v>
      </c>
      <c r="C15" s="11"/>
      <c r="D15" s="11"/>
    </row>
    <row r="16" spans="2:4" ht="75" customHeight="1" x14ac:dyDescent="0.35">
      <c r="B16" s="12" t="s">
        <v>32</v>
      </c>
      <c r="C16" s="12" t="s">
        <v>33</v>
      </c>
      <c r="D16" s="12"/>
    </row>
    <row r="17" spans="2:4" ht="45" customHeight="1" x14ac:dyDescent="0.35">
      <c r="B17" s="12" t="s">
        <v>34</v>
      </c>
      <c r="C17" s="12" t="s">
        <v>35</v>
      </c>
      <c r="D17" s="12"/>
    </row>
    <row r="18" spans="2:4" ht="15" customHeight="1" x14ac:dyDescent="0.35">
      <c r="B18" s="12" t="s">
        <v>36</v>
      </c>
      <c r="C18" s="12" t="s">
        <v>37</v>
      </c>
      <c r="D18" s="12"/>
    </row>
    <row r="19" spans="2:4" ht="45" customHeight="1" x14ac:dyDescent="0.35">
      <c r="B19" s="12" t="s">
        <v>38</v>
      </c>
      <c r="C19" s="12" t="s">
        <v>39</v>
      </c>
      <c r="D19" s="12"/>
    </row>
    <row r="20" spans="2:4" ht="75" customHeight="1" x14ac:dyDescent="0.35">
      <c r="B20" s="12" t="s">
        <v>40</v>
      </c>
      <c r="C20" s="12" t="s">
        <v>41</v>
      </c>
      <c r="D20" s="12"/>
    </row>
    <row r="21" spans="2:4" ht="60" customHeight="1" x14ac:dyDescent="0.35">
      <c r="B21" s="12" t="s">
        <v>42</v>
      </c>
      <c r="C21" s="12" t="s">
        <v>43</v>
      </c>
      <c r="D21" s="12"/>
    </row>
    <row r="23" spans="2:4" ht="15" customHeight="1" x14ac:dyDescent="0.35">
      <c r="B23" s="10" t="s">
        <v>44</v>
      </c>
      <c r="C23" s="11"/>
      <c r="D23" s="11"/>
    </row>
    <row r="24" spans="2:4" ht="45" customHeight="1" x14ac:dyDescent="0.35">
      <c r="B24" s="12" t="s">
        <v>45</v>
      </c>
      <c r="C24" s="12" t="s">
        <v>46</v>
      </c>
      <c r="D24" s="12"/>
    </row>
    <row r="25" spans="2:4" ht="45" customHeight="1" x14ac:dyDescent="0.35">
      <c r="B25" s="12" t="s">
        <v>47</v>
      </c>
      <c r="C25" s="12" t="s">
        <v>48</v>
      </c>
      <c r="D25" s="12"/>
    </row>
    <row r="26" spans="2:4" ht="45" customHeight="1" x14ac:dyDescent="0.35">
      <c r="B26" s="12" t="s">
        <v>49</v>
      </c>
      <c r="C26" s="12" t="s">
        <v>50</v>
      </c>
      <c r="D26" s="12"/>
    </row>
    <row r="27" spans="2:4" ht="75" customHeight="1" x14ac:dyDescent="0.35">
      <c r="B27" s="12" t="s">
        <v>51</v>
      </c>
      <c r="C27" s="12" t="s">
        <v>52</v>
      </c>
      <c r="D27" s="12"/>
    </row>
    <row r="28" spans="2:4" ht="90" customHeight="1" x14ac:dyDescent="0.35">
      <c r="B28" s="12" t="s">
        <v>53</v>
      </c>
      <c r="C28" s="12" t="s">
        <v>54</v>
      </c>
      <c r="D28" s="12"/>
    </row>
    <row r="29" spans="2:4" ht="75" customHeight="1" x14ac:dyDescent="0.35">
      <c r="B29" s="12" t="s">
        <v>55</v>
      </c>
      <c r="C29" s="12" t="s">
        <v>56</v>
      </c>
      <c r="D29" s="12"/>
    </row>
    <row r="30" spans="2:4" ht="60" customHeight="1" x14ac:dyDescent="0.35">
      <c r="B30" s="12" t="s">
        <v>57</v>
      </c>
      <c r="C30" s="12" t="s">
        <v>58</v>
      </c>
      <c r="D30" s="12"/>
    </row>
    <row r="31" spans="2:4" ht="75" customHeight="1" x14ac:dyDescent="0.35">
      <c r="B31" s="12" t="s">
        <v>59</v>
      </c>
      <c r="C31" s="12" t="s">
        <v>60</v>
      </c>
      <c r="D31" s="12"/>
    </row>
    <row r="32" spans="2:4" ht="45" customHeight="1" x14ac:dyDescent="0.35">
      <c r="B32" s="12" t="s">
        <v>61</v>
      </c>
      <c r="C32" s="12" t="s">
        <v>62</v>
      </c>
      <c r="D32" s="12"/>
    </row>
    <row r="34" spans="2:4" ht="15" customHeight="1" x14ac:dyDescent="0.35">
      <c r="B34" s="10" t="s">
        <v>63</v>
      </c>
      <c r="C34" s="11"/>
      <c r="D34" s="11"/>
    </row>
    <row r="35" spans="2:4" ht="15" customHeight="1" x14ac:dyDescent="0.35">
      <c r="B35" s="12" t="s">
        <v>64</v>
      </c>
      <c r="C35" s="12" t="s">
        <v>65</v>
      </c>
      <c r="D35" s="12" t="s">
        <v>66</v>
      </c>
    </row>
    <row r="36" spans="2:4" ht="60" customHeight="1" x14ac:dyDescent="0.35">
      <c r="B36" s="12" t="s">
        <v>67</v>
      </c>
      <c r="C36" s="12" t="s">
        <v>68</v>
      </c>
      <c r="D36" s="12" t="s">
        <v>69</v>
      </c>
    </row>
    <row r="37" spans="2:4" ht="45" customHeight="1" x14ac:dyDescent="0.35">
      <c r="B37" s="12" t="s">
        <v>70</v>
      </c>
      <c r="C37" s="12" t="s">
        <v>71</v>
      </c>
      <c r="D37" s="12" t="s">
        <v>72</v>
      </c>
    </row>
    <row r="38" spans="2:4" ht="60" customHeight="1" x14ac:dyDescent="0.35">
      <c r="B38" s="12" t="s">
        <v>73</v>
      </c>
      <c r="C38" s="12" t="s">
        <v>74</v>
      </c>
      <c r="D38" s="12" t="s">
        <v>75</v>
      </c>
    </row>
    <row r="40" spans="2:4" ht="15" customHeight="1" x14ac:dyDescent="0.35">
      <c r="B40" s="10" t="s">
        <v>76</v>
      </c>
      <c r="C40" s="11"/>
      <c r="D40" s="11"/>
    </row>
    <row r="41" spans="2:4" ht="90" customHeight="1" x14ac:dyDescent="0.35">
      <c r="B41" s="12" t="s">
        <v>77</v>
      </c>
      <c r="C41" s="12" t="s">
        <v>78</v>
      </c>
      <c r="D41" s="12"/>
    </row>
    <row r="42" spans="2:4" ht="60" customHeight="1" x14ac:dyDescent="0.35">
      <c r="B42" s="12" t="s">
        <v>79</v>
      </c>
      <c r="C42" s="12" t="s">
        <v>80</v>
      </c>
      <c r="D42" s="12"/>
    </row>
    <row r="43" spans="2:4" ht="45" customHeight="1" x14ac:dyDescent="0.35">
      <c r="B43" s="12" t="s">
        <v>81</v>
      </c>
      <c r="C43" s="12" t="s">
        <v>82</v>
      </c>
      <c r="D43" s="12"/>
    </row>
    <row r="44" spans="2:4" ht="30" customHeight="1" x14ac:dyDescent="0.35">
      <c r="B44" s="12" t="s">
        <v>83</v>
      </c>
      <c r="C44" s="12" t="s">
        <v>84</v>
      </c>
      <c r="D44" s="12"/>
    </row>
    <row r="45" spans="2:4" ht="30" customHeight="1" x14ac:dyDescent="0.35">
      <c r="B45" s="12" t="s">
        <v>85</v>
      </c>
      <c r="C45" s="12" t="s">
        <v>86</v>
      </c>
      <c r="D45" s="12"/>
    </row>
    <row r="46" spans="2:4" ht="30" customHeight="1" x14ac:dyDescent="0.35">
      <c r="B46" s="12" t="s">
        <v>87</v>
      </c>
      <c r="C46" s="12" t="s">
        <v>88</v>
      </c>
      <c r="D46" s="12"/>
    </row>
    <row r="47" spans="2:4" ht="30" customHeight="1" x14ac:dyDescent="0.35">
      <c r="B47" s="12" t="s">
        <v>89</v>
      </c>
      <c r="C47" s="12" t="s">
        <v>90</v>
      </c>
      <c r="D47" s="12"/>
    </row>
    <row r="48" spans="2:4" ht="75" customHeight="1" x14ac:dyDescent="0.35">
      <c r="B48" s="12" t="s">
        <v>91</v>
      </c>
      <c r="C48" s="12" t="s">
        <v>92</v>
      </c>
      <c r="D48" s="12"/>
    </row>
    <row r="49" spans="2:4" ht="45" customHeight="1" x14ac:dyDescent="0.35">
      <c r="B49" s="12" t="s">
        <v>93</v>
      </c>
      <c r="C49" s="12" t="s">
        <v>94</v>
      </c>
      <c r="D49" s="12"/>
    </row>
    <row r="50" spans="2:4" ht="75" customHeight="1" x14ac:dyDescent="0.35">
      <c r="B50" s="12" t="s">
        <v>95</v>
      </c>
      <c r="C50" s="12" t="s">
        <v>96</v>
      </c>
      <c r="D50" s="12"/>
    </row>
    <row r="52" spans="2:4" ht="15" customHeight="1" x14ac:dyDescent="0.35">
      <c r="B52" s="10" t="s">
        <v>97</v>
      </c>
      <c r="C52" s="11"/>
      <c r="D52" s="11"/>
    </row>
    <row r="53" spans="2:4" ht="75" customHeight="1" x14ac:dyDescent="0.35">
      <c r="B53" s="12" t="s">
        <v>98</v>
      </c>
      <c r="C53" s="12" t="s">
        <v>99</v>
      </c>
      <c r="D53" s="12"/>
    </row>
    <row r="54" spans="2:4" ht="60" customHeight="1" x14ac:dyDescent="0.35">
      <c r="B54" s="12" t="s">
        <v>100</v>
      </c>
      <c r="C54" s="12" t="s">
        <v>101</v>
      </c>
      <c r="D54" s="12"/>
    </row>
    <row r="55" spans="2:4" ht="60" customHeight="1" x14ac:dyDescent="0.35">
      <c r="B55" s="12" t="s">
        <v>102</v>
      </c>
      <c r="C55" s="12" t="s">
        <v>103</v>
      </c>
      <c r="D55" s="12"/>
    </row>
    <row r="56" spans="2:4" ht="45" customHeight="1" x14ac:dyDescent="0.35">
      <c r="B56" s="12" t="s">
        <v>104</v>
      </c>
      <c r="C56" s="12" t="s">
        <v>105</v>
      </c>
      <c r="D56" s="12"/>
    </row>
    <row r="59" spans="2:4" ht="19.5" customHeight="1" x14ac:dyDescent="0.35">
      <c r="B59" s="10" t="s">
        <v>106</v>
      </c>
    </row>
    <row r="61" spans="2:4" ht="45" customHeight="1" x14ac:dyDescent="0.35">
      <c r="B61" s="12" t="s">
        <v>107</v>
      </c>
      <c r="C61" s="12" t="s">
        <v>108</v>
      </c>
    </row>
    <row r="62" spans="2:4" ht="60" customHeight="1" x14ac:dyDescent="0.35">
      <c r="B62" s="12" t="s">
        <v>109</v>
      </c>
      <c r="C62" s="12" t="s">
        <v>110</v>
      </c>
    </row>
    <row r="63" spans="2:4" ht="60" customHeight="1" x14ac:dyDescent="0.35">
      <c r="B63" s="12" t="s">
        <v>111</v>
      </c>
      <c r="C63" s="12" t="s">
        <v>112</v>
      </c>
    </row>
    <row r="64" spans="2:4" ht="75" customHeight="1" x14ac:dyDescent="0.35">
      <c r="B64" s="12" t="s">
        <v>113</v>
      </c>
      <c r="C64" s="12" t="s">
        <v>114</v>
      </c>
    </row>
    <row r="65" spans="2:3" ht="90" customHeight="1" x14ac:dyDescent="0.35">
      <c r="B65" s="12" t="s">
        <v>115</v>
      </c>
      <c r="C65" s="12" t="s">
        <v>116</v>
      </c>
    </row>
    <row r="66" spans="2:3" ht="105" customHeight="1" x14ac:dyDescent="0.35">
      <c r="B66" s="12" t="s">
        <v>117</v>
      </c>
      <c r="C66" s="12" t="s">
        <v>118</v>
      </c>
    </row>
    <row r="67" spans="2:3" ht="60" customHeight="1" x14ac:dyDescent="0.35">
      <c r="B67" s="12" t="s">
        <v>119</v>
      </c>
      <c r="C67" s="12" t="s">
        <v>120</v>
      </c>
    </row>
    <row r="68" spans="2:3" ht="60" customHeight="1" x14ac:dyDescent="0.35">
      <c r="B68" s="12" t="s">
        <v>121</v>
      </c>
      <c r="C68" s="12" t="s">
        <v>122</v>
      </c>
    </row>
  </sheetData>
  <mergeCells count="1">
    <mergeCell ref="B4:D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P80"/>
  <sheetViews>
    <sheetView showGridLines="0" zoomScale="53" zoomScaleNormal="53" workbookViewId="0">
      <selection activeCell="F34" sqref="F34"/>
    </sheetView>
  </sheetViews>
  <sheetFormatPr defaultColWidth="8.7265625" defaultRowHeight="14.5" x14ac:dyDescent="0.35"/>
  <cols>
    <col min="1" max="1" width="3" style="1" customWidth="1"/>
    <col min="2" max="2" width="35.08984375" style="1" customWidth="1"/>
    <col min="3" max="3" width="50.453125" style="1" customWidth="1"/>
    <col min="4" max="4" width="9.26953125" style="1" customWidth="1"/>
    <col min="5" max="5" width="12.26953125" style="1" customWidth="1"/>
    <col min="6" max="6" width="20.7265625" style="1" customWidth="1"/>
    <col min="7" max="7" width="9.26953125" style="1" customWidth="1"/>
    <col min="8" max="11" width="8.26953125" style="1" customWidth="1"/>
    <col min="12" max="15" width="9.7265625" style="1" customWidth="1"/>
  </cols>
  <sheetData>
    <row r="3" spans="2:16" ht="21.75" customHeight="1" x14ac:dyDescent="0.35">
      <c r="B3" s="174" t="s">
        <v>123</v>
      </c>
      <c r="C3" s="174"/>
      <c r="D3" s="174"/>
      <c r="E3" s="174"/>
      <c r="F3" s="174"/>
      <c r="G3" s="174"/>
      <c r="H3" s="174"/>
      <c r="I3" s="174"/>
      <c r="J3" s="174"/>
      <c r="K3" s="174"/>
      <c r="L3" s="174"/>
      <c r="M3" s="174"/>
      <c r="N3" s="174"/>
      <c r="O3" s="174"/>
      <c r="P3" s="174"/>
    </row>
    <row r="5" spans="2:16" ht="15" customHeight="1" x14ac:dyDescent="0.4">
      <c r="B5" s="13" t="s">
        <v>124</v>
      </c>
      <c r="F5" s="14" t="s">
        <v>125</v>
      </c>
      <c r="G5" s="14" t="s">
        <v>126</v>
      </c>
      <c r="H5" s="14" t="s">
        <v>127</v>
      </c>
      <c r="I5" s="14" t="s">
        <v>128</v>
      </c>
      <c r="J5" s="14" t="s">
        <v>129</v>
      </c>
      <c r="K5" s="14" t="s">
        <v>130</v>
      </c>
      <c r="L5" s="14" t="s">
        <v>131</v>
      </c>
      <c r="M5" s="14" t="s">
        <v>132</v>
      </c>
      <c r="N5" s="14" t="s">
        <v>133</v>
      </c>
      <c r="O5" s="14" t="s">
        <v>134</v>
      </c>
    </row>
    <row r="7" spans="2:16" ht="15" customHeight="1" x14ac:dyDescent="0.4">
      <c r="B7" s="15" t="s">
        <v>135</v>
      </c>
      <c r="F7" s="16" t="str">
        <f>CONCATENATE("Running: ",INDEX(Inputs!$B$12:$B$14,Inputs!$H$7)," Case")</f>
        <v>Running: Base Case Case</v>
      </c>
    </row>
    <row r="9" spans="2:16" ht="15" customHeight="1" x14ac:dyDescent="0.4">
      <c r="C9" s="15" t="s">
        <v>136</v>
      </c>
    </row>
    <row r="11" spans="2:16" ht="15" customHeight="1" x14ac:dyDescent="0.4">
      <c r="C11" s="17" t="s">
        <v>137</v>
      </c>
      <c r="F11" s="18">
        <f>Model!F11</f>
        <v>60644.54</v>
      </c>
      <c r="G11" s="18">
        <f>Model!G11</f>
        <v>70919.03</v>
      </c>
      <c r="H11" s="18">
        <f>Model!H11</f>
        <v>73891.429999999993</v>
      </c>
      <c r="I11" s="18">
        <f>Model!I11</f>
        <v>81612.78</v>
      </c>
      <c r="J11" s="18">
        <f>Model!J11</f>
        <v>89913.33</v>
      </c>
      <c r="K11" s="18">
        <f>Model!K11</f>
        <v>96656.82974999999</v>
      </c>
      <c r="L11" s="18">
        <f>Model!L11</f>
        <v>103422.8078325</v>
      </c>
      <c r="M11" s="18">
        <f>Model!M11</f>
        <v>110145.29034161249</v>
      </c>
      <c r="N11" s="18">
        <f>Model!N11</f>
        <v>116754.00776210924</v>
      </c>
      <c r="O11" s="18">
        <f>Model!O11</f>
        <v>123175.47818902526</v>
      </c>
    </row>
    <row r="13" spans="2:16" ht="15" customHeight="1" x14ac:dyDescent="0.4">
      <c r="C13" s="17" t="s">
        <v>138</v>
      </c>
      <c r="F13" s="18">
        <f>Model!F18</f>
        <v>19251.150000000001</v>
      </c>
      <c r="G13" s="18">
        <f>Model!G18</f>
        <v>24987.08</v>
      </c>
      <c r="H13" s="18">
        <f>Model!H18</f>
        <v>25249.789999999994</v>
      </c>
      <c r="I13" s="18">
        <f>Model!I18</f>
        <v>25978.21</v>
      </c>
      <c r="J13" s="18">
        <f>Model!J18</f>
        <v>27317.910000000003</v>
      </c>
      <c r="K13" s="18">
        <f>Model!K18</f>
        <v>28513.76477624998</v>
      </c>
      <c r="L13" s="18">
        <f>Model!L18</f>
        <v>32061.070428075003</v>
      </c>
      <c r="M13" s="18">
        <f>Model!M18</f>
        <v>35246.492909315988</v>
      </c>
      <c r="N13" s="18">
        <f>Model!N18</f>
        <v>38295.314545971836</v>
      </c>
      <c r="O13" s="18">
        <f>Model!O18</f>
        <v>41263.785193323449</v>
      </c>
    </row>
    <row r="14" spans="2:16" ht="15" customHeight="1" x14ac:dyDescent="0.35">
      <c r="C14" s="16" t="s">
        <v>139</v>
      </c>
      <c r="F14" s="19">
        <f>Model!F19</f>
        <v>0.31744242762827457</v>
      </c>
      <c r="G14" s="19">
        <f>Model!G19</f>
        <v>0.35233251216210942</v>
      </c>
      <c r="H14" s="19">
        <f>Model!H19</f>
        <v>0.34171472929945995</v>
      </c>
      <c r="I14" s="19">
        <f>Model!I19</f>
        <v>0.3183105636151593</v>
      </c>
      <c r="J14" s="19">
        <f>Model!J19</f>
        <v>0.30382491672814255</v>
      </c>
      <c r="K14" s="19">
        <f>Model!K19</f>
        <v>0.29499999999999982</v>
      </c>
      <c r="L14" s="19">
        <f>Model!L19</f>
        <v>0.31000000000000005</v>
      </c>
      <c r="M14" s="19">
        <f>Model!M19</f>
        <v>0.3199999999999999</v>
      </c>
      <c r="N14" s="19">
        <f>Model!N19</f>
        <v>0.32800000000000007</v>
      </c>
      <c r="O14" s="19">
        <f>Model!O19</f>
        <v>0.33499999999999991</v>
      </c>
    </row>
    <row r="16" spans="2:16" ht="15" customHeight="1" x14ac:dyDescent="0.4">
      <c r="C16" s="17" t="s">
        <v>140</v>
      </c>
      <c r="F16" s="18">
        <f>Model!F35</f>
        <v>14131.130000000001</v>
      </c>
      <c r="G16" s="18">
        <f>Model!G35</f>
        <v>18759.54</v>
      </c>
      <c r="H16" s="18">
        <f>Model!H35</f>
        <v>20190.819999999996</v>
      </c>
      <c r="I16" s="18">
        <f>Model!I35</f>
        <v>20036.47</v>
      </c>
      <c r="J16" s="18">
        <f>Model!J35</f>
        <v>21018.150000000009</v>
      </c>
      <c r="K16" s="18">
        <f>Model!K35</f>
        <v>22059.820314039574</v>
      </c>
      <c r="L16" s="18">
        <f>Model!L35</f>
        <v>24625.506165762548</v>
      </c>
      <c r="M16" s="18">
        <f>Model!M35</f>
        <v>26860.822599117815</v>
      </c>
      <c r="N16" s="18">
        <f>Model!N35</f>
        <v>28997.737538670466</v>
      </c>
      <c r="O16" s="18">
        <f>Model!O35</f>
        <v>31080.063174813426</v>
      </c>
    </row>
    <row r="17" spans="2:16" ht="15" customHeight="1" x14ac:dyDescent="0.35">
      <c r="C17" s="16" t="s">
        <v>141</v>
      </c>
      <c r="F17" s="19">
        <f>Model!F36</f>
        <v>0.2330157010012773</v>
      </c>
      <c r="G17" s="19">
        <f>Model!G36</f>
        <v>0.26452053842247986</v>
      </c>
      <c r="H17" s="19">
        <f>Model!H36</f>
        <v>0.27324982071669202</v>
      </c>
      <c r="I17" s="19">
        <f>Model!I36</f>
        <v>0.24550652483593871</v>
      </c>
      <c r="J17" s="19">
        <f>Model!J36</f>
        <v>0.23376011098688046</v>
      </c>
      <c r="K17" s="19">
        <f>Model!K36</f>
        <v>0.22822826251488532</v>
      </c>
      <c r="L17" s="19">
        <f>Model!L36</f>
        <v>0.23810517894317051</v>
      </c>
      <c r="M17" s="19">
        <f>Model!M36</f>
        <v>0.2438671913779494</v>
      </c>
      <c r="N17" s="19">
        <f>Model!N36</f>
        <v>0.24836609975526036</v>
      </c>
      <c r="O17" s="19">
        <f>Model!O36</f>
        <v>0.25232346268725597</v>
      </c>
    </row>
    <row r="20" spans="2:16" ht="15" customHeight="1" x14ac:dyDescent="0.4">
      <c r="C20" s="15" t="s">
        <v>142</v>
      </c>
    </row>
    <row r="22" spans="2:16" ht="15" customHeight="1" x14ac:dyDescent="0.4">
      <c r="C22" s="17" t="s">
        <v>143</v>
      </c>
      <c r="F22" s="18">
        <f>Model!F52</f>
        <v>16784.77</v>
      </c>
      <c r="G22" s="18">
        <f>Model!G52</f>
        <v>21045.919999999998</v>
      </c>
      <c r="H22" s="18">
        <f>Model!H52</f>
        <v>16713.55999999999</v>
      </c>
      <c r="I22" s="18">
        <f>Model!I52</f>
        <v>20072.090000000004</v>
      </c>
      <c r="J22" s="18">
        <f>Model!J52</f>
        <v>21715.750000000007</v>
      </c>
      <c r="K22" s="18">
        <f>Model!K52</f>
        <v>23839.923773616349</v>
      </c>
      <c r="L22" s="18">
        <f>Model!L52</f>
        <v>26267.962006900292</v>
      </c>
      <c r="M22" s="18">
        <f>Model!M52</f>
        <v>28693.482685192143</v>
      </c>
      <c r="N22" s="18">
        <f>Model!N52</f>
        <v>31043.567755324082</v>
      </c>
      <c r="O22" s="18">
        <f>Model!O52</f>
        <v>33360.84275872435</v>
      </c>
    </row>
    <row r="23" spans="2:16" ht="15" customHeight="1" x14ac:dyDescent="0.4">
      <c r="C23" s="17" t="s">
        <v>144</v>
      </c>
      <c r="F23" s="18">
        <f>Model!F57</f>
        <v>-1879.7700000000007</v>
      </c>
      <c r="G23" s="18">
        <f>Model!G57</f>
        <v>-3206.4499999999989</v>
      </c>
      <c r="H23" s="18">
        <f>Model!H57</f>
        <v>122.99999999999932</v>
      </c>
      <c r="I23" s="18">
        <f>Model!I57</f>
        <v>6146.4200000000019</v>
      </c>
      <c r="J23" s="18">
        <f>Model!J57</f>
        <v>-2144.7400000000025</v>
      </c>
      <c r="K23" s="18">
        <f>Model!K57</f>
        <v>-6049.3076317499945</v>
      </c>
      <c r="L23" s="18">
        <f>Model!L57</f>
        <v>-6282.1170159724979</v>
      </c>
      <c r="M23" s="18">
        <f>Model!M57</f>
        <v>-6485.5143107607128</v>
      </c>
      <c r="N23" s="18">
        <f>Model!N57</f>
        <v>-6655.3590363688563</v>
      </c>
      <c r="O23" s="18">
        <f>Model!O57</f>
        <v>-6787.8640516842079</v>
      </c>
    </row>
    <row r="24" spans="2:16" ht="15" customHeight="1" x14ac:dyDescent="0.4">
      <c r="C24" s="17" t="s">
        <v>145</v>
      </c>
      <c r="F24" s="18">
        <f>Model!F65</f>
        <v>-13922.359999999999</v>
      </c>
      <c r="G24" s="18">
        <f>Model!G65</f>
        <v>-19206.800000000003</v>
      </c>
      <c r="H24" s="18">
        <f>Model!H65</f>
        <v>-19900.82</v>
      </c>
      <c r="I24" s="18">
        <f>Model!I65</f>
        <v>-17416.670000000002</v>
      </c>
      <c r="J24" s="18">
        <f>Model!J65</f>
        <v>-15872.620000000003</v>
      </c>
      <c r="K24" s="18">
        <f>Model!K65</f>
        <v>-18434.076141866353</v>
      </c>
      <c r="L24" s="18">
        <f>Model!L65</f>
        <v>-19985.844990927795</v>
      </c>
      <c r="M24" s="18">
        <f>Model!M65</f>
        <v>-22207.968374431432</v>
      </c>
      <c r="N24" s="18">
        <f>Model!N65</f>
        <v>-24388.208718955226</v>
      </c>
      <c r="O24" s="18">
        <f>Model!O65</f>
        <v>-26572.978707040143</v>
      </c>
    </row>
    <row r="25" spans="2:16" ht="15" customHeight="1" x14ac:dyDescent="0.4">
      <c r="C25" s="17" t="s">
        <v>146</v>
      </c>
      <c r="F25" s="18">
        <f>Model!F70</f>
        <v>982.64000000000124</v>
      </c>
      <c r="G25" s="18">
        <f>Model!G70</f>
        <v>-1367.3300000000017</v>
      </c>
      <c r="H25" s="18">
        <f>Model!H70</f>
        <v>-3064.2600000000093</v>
      </c>
      <c r="I25" s="18">
        <f>Model!I70</f>
        <v>8801.8400000000038</v>
      </c>
      <c r="J25" s="18">
        <f>Model!J70</f>
        <v>3698.3900000000031</v>
      </c>
      <c r="K25" s="18">
        <f>Model!K70</f>
        <v>-643.45999999999913</v>
      </c>
      <c r="L25" s="18">
        <f>Model!L70</f>
        <v>0</v>
      </c>
      <c r="M25" s="18">
        <f>Model!M70</f>
        <v>0</v>
      </c>
      <c r="N25" s="18">
        <f>Model!N70</f>
        <v>0</v>
      </c>
      <c r="O25" s="18">
        <f>Model!O70</f>
        <v>0</v>
      </c>
    </row>
    <row r="28" spans="2:16" ht="21.75" customHeight="1" x14ac:dyDescent="0.35">
      <c r="B28" s="174" t="s">
        <v>147</v>
      </c>
      <c r="C28" s="174"/>
      <c r="D28" s="174"/>
      <c r="E28" s="174"/>
      <c r="F28" s="174"/>
      <c r="G28" s="174"/>
      <c r="H28" s="174"/>
      <c r="I28" s="174"/>
      <c r="J28" s="174"/>
      <c r="K28" s="174"/>
      <c r="L28" s="174"/>
      <c r="M28" s="174"/>
      <c r="N28" s="174"/>
      <c r="O28" s="174"/>
      <c r="P28" s="174"/>
    </row>
    <row r="30" spans="2:16" ht="15" customHeight="1" x14ac:dyDescent="0.4">
      <c r="C30" s="20" t="s">
        <v>148</v>
      </c>
      <c r="F30" s="21">
        <f>Inputs!$L$63</f>
        <v>0.10619345850838746</v>
      </c>
    </row>
    <row r="31" spans="2:16" ht="15" customHeight="1" x14ac:dyDescent="0.4">
      <c r="C31" s="20" t="s">
        <v>149</v>
      </c>
      <c r="F31" s="21">
        <f>Inputs!$F$53</f>
        <v>0.05</v>
      </c>
    </row>
    <row r="32" spans="2:16" ht="15" customHeight="1" x14ac:dyDescent="0.4">
      <c r="C32" s="20" t="s">
        <v>150</v>
      </c>
      <c r="F32" s="22">
        <f>Model!F405</f>
        <v>387229.08841280395</v>
      </c>
    </row>
    <row r="33" spans="2:6" ht="15" customHeight="1" x14ac:dyDescent="0.4">
      <c r="C33" s="20" t="s">
        <v>151</v>
      </c>
      <c r="F33" s="22">
        <f>Model!F415</f>
        <v>423814.75841280399</v>
      </c>
    </row>
    <row r="34" spans="2:6" ht="15" customHeight="1" x14ac:dyDescent="0.4">
      <c r="C34" s="20" t="s">
        <v>152</v>
      </c>
      <c r="F34" s="23">
        <f>Model!F417</f>
        <v>338.25439229566973</v>
      </c>
    </row>
    <row r="35" spans="2:6" ht="15" customHeight="1" x14ac:dyDescent="0.4">
      <c r="C35" s="20" t="s">
        <v>153</v>
      </c>
      <c r="F35" s="23">
        <f>Model!F422</f>
        <v>285</v>
      </c>
    </row>
    <row r="36" spans="2:6" ht="15" customHeight="1" x14ac:dyDescent="0.4">
      <c r="C36" s="20" t="s">
        <v>154</v>
      </c>
      <c r="F36" s="24">
        <f>Model!F423</f>
        <v>0.18685751682691132</v>
      </c>
    </row>
    <row r="38" spans="2:6" ht="15" customHeight="1" x14ac:dyDescent="0.35">
      <c r="C38" s="25" t="s">
        <v>155</v>
      </c>
    </row>
    <row r="41" spans="2:6" ht="15" customHeight="1" x14ac:dyDescent="0.4">
      <c r="B41" s="15" t="s">
        <v>156</v>
      </c>
      <c r="C41" s="15" t="s">
        <v>137</v>
      </c>
      <c r="D41" s="15" t="s">
        <v>138</v>
      </c>
      <c r="E41" s="15" t="s">
        <v>140</v>
      </c>
    </row>
    <row r="42" spans="2:6" ht="15" customHeight="1" x14ac:dyDescent="0.4">
      <c r="B42" s="17" t="s">
        <v>125</v>
      </c>
      <c r="C42" s="18">
        <f>Model!F11</f>
        <v>60644.54</v>
      </c>
      <c r="D42" s="18">
        <f>Model!F18</f>
        <v>19251.150000000001</v>
      </c>
      <c r="E42" s="18">
        <f>Model!F35</f>
        <v>14131.130000000001</v>
      </c>
    </row>
    <row r="43" spans="2:6" ht="15" customHeight="1" x14ac:dyDescent="0.4">
      <c r="B43" s="17" t="s">
        <v>126</v>
      </c>
      <c r="C43" s="18">
        <f>Model!G11</f>
        <v>70919.03</v>
      </c>
      <c r="D43" s="18">
        <f>Model!G18</f>
        <v>24987.08</v>
      </c>
      <c r="E43" s="18">
        <f>Model!G35</f>
        <v>18759.54</v>
      </c>
    </row>
    <row r="44" spans="2:6" ht="15" customHeight="1" x14ac:dyDescent="0.4">
      <c r="B44" s="17" t="s">
        <v>127</v>
      </c>
      <c r="C44" s="18">
        <f>Model!H11</f>
        <v>73891.429999999993</v>
      </c>
      <c r="D44" s="18">
        <f>Model!H18</f>
        <v>25249.789999999994</v>
      </c>
      <c r="E44" s="18">
        <f>Model!H35</f>
        <v>20190.819999999996</v>
      </c>
    </row>
    <row r="45" spans="2:6" ht="15" customHeight="1" x14ac:dyDescent="0.4">
      <c r="B45" s="17" t="s">
        <v>128</v>
      </c>
      <c r="C45" s="18">
        <f>Model!I11</f>
        <v>81612.78</v>
      </c>
      <c r="D45" s="18">
        <f>Model!I18</f>
        <v>25978.21</v>
      </c>
      <c r="E45" s="18">
        <f>Model!I35</f>
        <v>20036.47</v>
      </c>
    </row>
    <row r="46" spans="2:6" ht="15" customHeight="1" x14ac:dyDescent="0.4">
      <c r="B46" s="17" t="s">
        <v>129</v>
      </c>
      <c r="C46" s="18">
        <f>Model!J11</f>
        <v>89913.33</v>
      </c>
      <c r="D46" s="18">
        <f>Model!J18</f>
        <v>27317.910000000003</v>
      </c>
      <c r="E46" s="18">
        <f>Model!J35</f>
        <v>21018.150000000009</v>
      </c>
    </row>
    <row r="47" spans="2:6" ht="15" customHeight="1" x14ac:dyDescent="0.4">
      <c r="B47" s="17" t="s">
        <v>130</v>
      </c>
      <c r="C47" s="18">
        <f>Model!K11</f>
        <v>96656.82974999999</v>
      </c>
      <c r="D47" s="18">
        <f>Model!K18</f>
        <v>28513.76477624998</v>
      </c>
      <c r="E47" s="18">
        <f>Model!K35</f>
        <v>22059.820314039574</v>
      </c>
    </row>
    <row r="48" spans="2:6" ht="15" customHeight="1" x14ac:dyDescent="0.4">
      <c r="B48" s="17" t="s">
        <v>131</v>
      </c>
      <c r="C48" s="18">
        <f>Model!L11</f>
        <v>103422.8078325</v>
      </c>
      <c r="D48" s="18">
        <f>Model!L18</f>
        <v>32061.070428075003</v>
      </c>
      <c r="E48" s="18">
        <f>Model!L35</f>
        <v>24625.506165762548</v>
      </c>
    </row>
    <row r="49" spans="2:5" ht="15" customHeight="1" x14ac:dyDescent="0.4">
      <c r="B49" s="17" t="s">
        <v>132</v>
      </c>
      <c r="C49" s="18">
        <f>Model!M11</f>
        <v>110145.29034161249</v>
      </c>
      <c r="D49" s="18">
        <f>Model!M18</f>
        <v>35246.492909315988</v>
      </c>
      <c r="E49" s="18">
        <f>Model!M35</f>
        <v>26860.822599117815</v>
      </c>
    </row>
    <row r="50" spans="2:5" ht="15" customHeight="1" x14ac:dyDescent="0.4">
      <c r="B50" s="17" t="s">
        <v>133</v>
      </c>
      <c r="C50" s="18">
        <f>Model!N11</f>
        <v>116754.00776210924</v>
      </c>
      <c r="D50" s="18">
        <f>Model!N18</f>
        <v>38295.314545971836</v>
      </c>
      <c r="E50" s="18">
        <f>Model!N35</f>
        <v>28997.737538670466</v>
      </c>
    </row>
    <row r="51" spans="2:5" ht="15" customHeight="1" x14ac:dyDescent="0.4">
      <c r="B51" s="17" t="s">
        <v>134</v>
      </c>
      <c r="C51" s="18">
        <f>Model!O11</f>
        <v>123175.47818902526</v>
      </c>
      <c r="D51" s="18">
        <f>Model!O18</f>
        <v>41263.785193323449</v>
      </c>
      <c r="E51" s="18">
        <f>Model!O35</f>
        <v>31080.063174813426</v>
      </c>
    </row>
    <row r="53" spans="2:5" ht="15" customHeight="1" x14ac:dyDescent="0.4">
      <c r="B53" s="15" t="s">
        <v>156</v>
      </c>
      <c r="C53" s="15" t="s">
        <v>157</v>
      </c>
    </row>
    <row r="54" spans="2:5" ht="15" customHeight="1" x14ac:dyDescent="0.4">
      <c r="B54" s="17" t="s">
        <v>130</v>
      </c>
      <c r="C54" s="18">
        <f>Model!K390</f>
        <v>18334.842313884503</v>
      </c>
    </row>
    <row r="55" spans="2:5" ht="15" customHeight="1" x14ac:dyDescent="0.4">
      <c r="B55" s="17" t="s">
        <v>131</v>
      </c>
      <c r="C55" s="18">
        <f>Model!L390</f>
        <v>20515.967755127458</v>
      </c>
    </row>
    <row r="56" spans="2:5" ht="15" customHeight="1" x14ac:dyDescent="0.4">
      <c r="B56" s="17" t="s">
        <v>132</v>
      </c>
      <c r="C56" s="18">
        <f>Model!M390</f>
        <v>22740.279897867011</v>
      </c>
    </row>
    <row r="57" spans="2:5" ht="15" customHeight="1" x14ac:dyDescent="0.4">
      <c r="B57" s="17" t="s">
        <v>133</v>
      </c>
      <c r="C57" s="18">
        <f>Model!N390</f>
        <v>24875.167894859598</v>
      </c>
    </row>
    <row r="58" spans="2:5" ht="15" customHeight="1" x14ac:dyDescent="0.4">
      <c r="B58" s="17" t="s">
        <v>134</v>
      </c>
      <c r="C58" s="18">
        <f>Model!O390</f>
        <v>26965.310875763982</v>
      </c>
    </row>
    <row r="60" spans="2:5" ht="15" customHeight="1" x14ac:dyDescent="0.4">
      <c r="B60" s="15" t="s">
        <v>158</v>
      </c>
      <c r="C60" s="15" t="s">
        <v>159</v>
      </c>
    </row>
    <row r="61" spans="2:5" ht="15" customHeight="1" x14ac:dyDescent="0.4">
      <c r="B61" s="17" t="s">
        <v>160</v>
      </c>
      <c r="C61" s="18">
        <f>Model!F405</f>
        <v>387229.08841280395</v>
      </c>
    </row>
    <row r="62" spans="2:5" ht="15" customHeight="1" x14ac:dyDescent="0.4">
      <c r="B62" s="17" t="s">
        <v>161</v>
      </c>
      <c r="C62" s="18">
        <f>Model!F412</f>
        <v>643.46</v>
      </c>
    </row>
    <row r="63" spans="2:5" ht="15" customHeight="1" x14ac:dyDescent="0.4">
      <c r="B63" s="17" t="s">
        <v>162</v>
      </c>
      <c r="C63" s="18">
        <f>Model!F413</f>
        <v>38128.43</v>
      </c>
    </row>
    <row r="64" spans="2:5" ht="15" customHeight="1" x14ac:dyDescent="0.4">
      <c r="B64" s="17" t="s">
        <v>163</v>
      </c>
      <c r="C64" s="18">
        <f>Model!F414</f>
        <v>-2186.2199999999998</v>
      </c>
    </row>
    <row r="65" spans="2:7" ht="15" customHeight="1" x14ac:dyDescent="0.4">
      <c r="B65" s="17" t="s">
        <v>164</v>
      </c>
      <c r="C65" s="18">
        <f>Model!F415</f>
        <v>423814.75841280399</v>
      </c>
    </row>
    <row r="67" spans="2:7" ht="15" customHeight="1" x14ac:dyDescent="0.4">
      <c r="B67" s="15" t="s">
        <v>165</v>
      </c>
      <c r="C67" s="15" t="s">
        <v>166</v>
      </c>
    </row>
    <row r="68" spans="2:7" ht="15" customHeight="1" x14ac:dyDescent="0.4">
      <c r="B68" s="17" t="s">
        <v>167</v>
      </c>
      <c r="C68" s="18">
        <f>Model!F417</f>
        <v>338.25439229566973</v>
      </c>
    </row>
    <row r="69" spans="2:7" ht="15" customHeight="1" x14ac:dyDescent="0.4">
      <c r="B69" s="17" t="s">
        <v>168</v>
      </c>
      <c r="C69" s="18">
        <f>Model!F422</f>
        <v>285</v>
      </c>
    </row>
    <row r="72" spans="2:7" ht="21.75" customHeight="1" x14ac:dyDescent="0.35">
      <c r="B72" s="174" t="s">
        <v>169</v>
      </c>
      <c r="C72" s="174"/>
      <c r="D72" s="174"/>
      <c r="E72" s="174"/>
      <c r="F72" s="174"/>
      <c r="G72" s="174"/>
    </row>
    <row r="74" spans="2:7" ht="15" customHeight="1" x14ac:dyDescent="0.35">
      <c r="B74" s="25" t="s">
        <v>170</v>
      </c>
    </row>
    <row r="75" spans="2:7" ht="15" customHeight="1" x14ac:dyDescent="0.4">
      <c r="B75" s="20" t="str">
        <f>Model!B430</f>
        <v>WACC (down) / Terminal g (across)</v>
      </c>
      <c r="C75" s="21">
        <f>Model!D430</f>
        <v>0.04</v>
      </c>
      <c r="D75" s="21">
        <f>Model!F430</f>
        <v>4.5000000000000005E-2</v>
      </c>
      <c r="E75" s="21">
        <f>Model!H430</f>
        <v>0.05</v>
      </c>
      <c r="F75" s="21">
        <f>Model!J430</f>
        <v>5.5E-2</v>
      </c>
      <c r="G75" s="21">
        <f>Model!L430</f>
        <v>6.0000000000000005E-2</v>
      </c>
    </row>
    <row r="76" spans="2:7" ht="15" customHeight="1" x14ac:dyDescent="0.4">
      <c r="B76" s="21">
        <f>Model!B431</f>
        <v>9.6193458508387467E-2</v>
      </c>
      <c r="C76" s="26">
        <f>Model!D431</f>
        <v>348.94290594656815</v>
      </c>
      <c r="D76" s="26">
        <f>Model!F431</f>
        <v>374.84851143698739</v>
      </c>
      <c r="E76" s="26">
        <f>Model!H431</f>
        <v>406.36218489350517</v>
      </c>
      <c r="F76" s="26">
        <f>Model!J431</f>
        <v>445.52602286585284</v>
      </c>
      <c r="G76" s="26">
        <f>Model!L431</f>
        <v>495.51055595449412</v>
      </c>
    </row>
    <row r="77" spans="2:7" ht="15" customHeight="1" x14ac:dyDescent="0.4">
      <c r="B77" s="21">
        <f>Model!B432</f>
        <v>0.10119345850838746</v>
      </c>
      <c r="C77" s="26">
        <f>Model!D432</f>
        <v>322.25810413150708</v>
      </c>
      <c r="D77" s="26">
        <f>Model!F432</f>
        <v>343.53937462154232</v>
      </c>
      <c r="E77" s="26">
        <f>Model!H432</f>
        <v>368.97767437080381</v>
      </c>
      <c r="F77" s="26">
        <f>Model!J432</f>
        <v>399.92287933363417</v>
      </c>
      <c r="G77" s="26">
        <f>Model!L432</f>
        <v>438.38024911179082</v>
      </c>
    </row>
    <row r="78" spans="2:7" ht="15" customHeight="1" x14ac:dyDescent="0.4">
      <c r="B78" s="21">
        <f>Model!B433</f>
        <v>0.10619345850838746</v>
      </c>
      <c r="C78" s="26">
        <f>Model!D433</f>
        <v>299.61345775603201</v>
      </c>
      <c r="D78" s="26">
        <f>Model!F433</f>
        <v>317.35528674156666</v>
      </c>
      <c r="E78" s="26">
        <f>Model!H433</f>
        <v>338.25439229566973</v>
      </c>
      <c r="F78" s="26">
        <f>Model!J433</f>
        <v>363.23587598225987</v>
      </c>
      <c r="G78" s="26">
        <f>Model!L433</f>
        <v>393.62537294459435</v>
      </c>
    </row>
    <row r="79" spans="2:7" ht="15" customHeight="1" x14ac:dyDescent="0.4">
      <c r="B79" s="21">
        <f>Model!B434</f>
        <v>0.11119345850838747</v>
      </c>
      <c r="C79" s="26">
        <f>Model!D434</f>
        <v>280.15754591594526</v>
      </c>
      <c r="D79" s="26">
        <f>Model!F434</f>
        <v>295.13468753162681</v>
      </c>
      <c r="E79" s="26">
        <f>Model!H434</f>
        <v>312.55933611631372</v>
      </c>
      <c r="F79" s="26">
        <f>Model!J434</f>
        <v>333.084816905889</v>
      </c>
      <c r="G79" s="26">
        <f>Model!L434</f>
        <v>357.61969291657692</v>
      </c>
    </row>
    <row r="80" spans="2:7" ht="15" customHeight="1" x14ac:dyDescent="0.4">
      <c r="B80" s="21">
        <f>Model!B435</f>
        <v>0.11619345850838746</v>
      </c>
      <c r="C80" s="26">
        <f>Model!D435</f>
        <v>263.26244179751757</v>
      </c>
      <c r="D80" s="26">
        <f>Model!F435</f>
        <v>276.04233234685802</v>
      </c>
      <c r="E80" s="26">
        <f>Model!H435</f>
        <v>290.75291073716113</v>
      </c>
      <c r="F80" s="26">
        <f>Model!J435</f>
        <v>307.86743535780948</v>
      </c>
      <c r="G80" s="26">
        <f>Model!L435</f>
        <v>328.0276035595686</v>
      </c>
    </row>
  </sheetData>
  <mergeCells count="3">
    <mergeCell ref="B3:P3"/>
    <mergeCell ref="B28:P28"/>
    <mergeCell ref="B72:G72"/>
  </mergeCells>
  <conditionalFormatting sqref="C76:G80">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fitToHeight="0" orientation="landscape" horizontalDpi="300" verticalDpi="300"/>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P82"/>
  <sheetViews>
    <sheetView showGridLines="0" zoomScaleNormal="100" workbookViewId="0">
      <pane xSplit="2" ySplit="5" topLeftCell="C10" activePane="bottomRight" state="frozen"/>
      <selection pane="topRight" activeCell="C1" sqref="C1"/>
      <selection pane="bottomLeft" activeCell="A22" sqref="A22"/>
      <selection pane="bottomRight" activeCell="I2" sqref="I2"/>
    </sheetView>
  </sheetViews>
  <sheetFormatPr defaultColWidth="8.7265625" defaultRowHeight="14.5" x14ac:dyDescent="0.35"/>
  <cols>
    <col min="1" max="1" width="4" style="1" customWidth="1"/>
    <col min="2" max="2" width="24" style="1" customWidth="1"/>
    <col min="3" max="3" width="14" style="1" customWidth="1"/>
    <col min="4" max="6" width="3" style="1" customWidth="1"/>
    <col min="7" max="12" width="10" style="1" customWidth="1"/>
    <col min="13" max="13" width="40" style="1" customWidth="1"/>
  </cols>
  <sheetData>
    <row r="3" spans="2:16" ht="21.75" customHeight="1" x14ac:dyDescent="0.35">
      <c r="B3" s="174" t="s">
        <v>171</v>
      </c>
      <c r="C3" s="174"/>
      <c r="D3" s="174"/>
      <c r="E3" s="174"/>
      <c r="F3" s="174"/>
      <c r="G3" s="174"/>
      <c r="H3" s="174"/>
      <c r="I3" s="174"/>
      <c r="J3" s="174"/>
      <c r="K3" s="174"/>
      <c r="L3" s="174"/>
      <c r="M3" s="174"/>
      <c r="N3" s="174"/>
      <c r="O3" s="174"/>
      <c r="P3" s="174"/>
    </row>
    <row r="5" spans="2:16" ht="15" customHeight="1" x14ac:dyDescent="0.4">
      <c r="B5" s="13" t="s">
        <v>124</v>
      </c>
      <c r="H5" s="14" t="s">
        <v>130</v>
      </c>
      <c r="I5" s="14" t="s">
        <v>131</v>
      </c>
      <c r="J5" s="14" t="s">
        <v>132</v>
      </c>
      <c r="K5" s="14" t="s">
        <v>133</v>
      </c>
      <c r="L5" s="14" t="s">
        <v>134</v>
      </c>
    </row>
    <row r="7" spans="2:16" ht="15" customHeight="1" x14ac:dyDescent="0.4">
      <c r="B7" s="15" t="s">
        <v>135</v>
      </c>
      <c r="H7" s="27">
        <v>2</v>
      </c>
    </row>
    <row r="10" spans="2:16" ht="15" customHeight="1" x14ac:dyDescent="0.4">
      <c r="B10" s="15" t="s">
        <v>172</v>
      </c>
      <c r="H10" s="28">
        <f>INDEX(H12:H14,$H$7)</f>
        <v>7.4999999999999997E-2</v>
      </c>
      <c r="I10" s="28">
        <f>INDEX(I12:I14,$H$7)</f>
        <v>7.0000000000000007E-2</v>
      </c>
      <c r="J10" s="28">
        <f>INDEX(J12:J14,$H$7)</f>
        <v>6.5000000000000002E-2</v>
      </c>
      <c r="K10" s="28">
        <f>INDEX(K12:K14,$H$7)</f>
        <v>0.06</v>
      </c>
      <c r="L10" s="28">
        <f>INDEX(L12:L14,$H$7)</f>
        <v>5.5E-2</v>
      </c>
    </row>
    <row r="12" spans="2:16" ht="15" customHeight="1" x14ac:dyDescent="0.4">
      <c r="B12" s="17" t="s">
        <v>173</v>
      </c>
      <c r="H12" s="29">
        <v>9.5000000000000001E-2</v>
      </c>
      <c r="I12" s="29">
        <v>0.09</v>
      </c>
      <c r="J12" s="29">
        <v>8.5000000000000006E-2</v>
      </c>
      <c r="K12" s="29">
        <v>0.08</v>
      </c>
      <c r="L12" s="29">
        <v>7.4999999999999997E-2</v>
      </c>
    </row>
    <row r="13" spans="2:16" ht="15" customHeight="1" x14ac:dyDescent="0.4">
      <c r="B13" s="17" t="s">
        <v>174</v>
      </c>
      <c r="H13" s="29">
        <v>7.4999999999999997E-2</v>
      </c>
      <c r="I13" s="29">
        <v>7.0000000000000007E-2</v>
      </c>
      <c r="J13" s="29">
        <v>6.5000000000000002E-2</v>
      </c>
      <c r="K13" s="29">
        <v>0.06</v>
      </c>
      <c r="L13" s="29">
        <v>5.5E-2</v>
      </c>
    </row>
    <row r="14" spans="2:16" ht="15" customHeight="1" x14ac:dyDescent="0.4">
      <c r="B14" s="17" t="s">
        <v>175</v>
      </c>
      <c r="H14" s="29">
        <v>4.4999999999999998E-2</v>
      </c>
      <c r="I14" s="29">
        <v>0.04</v>
      </c>
      <c r="J14" s="29">
        <v>3.5000000000000003E-2</v>
      </c>
      <c r="K14" s="29">
        <v>0.03</v>
      </c>
      <c r="L14" s="29">
        <v>2.5000000000000001E-2</v>
      </c>
    </row>
    <row r="17" spans="2:12" ht="15" customHeight="1" x14ac:dyDescent="0.4">
      <c r="B17" s="15" t="s">
        <v>139</v>
      </c>
      <c r="H17" s="28">
        <f>INDEX(H19:H21,$H$7)</f>
        <v>0.29499999999999998</v>
      </c>
      <c r="I17" s="28">
        <f>INDEX(I19:I21,$H$7)</f>
        <v>0.31</v>
      </c>
      <c r="J17" s="28">
        <f>INDEX(J19:J21,$H$7)</f>
        <v>0.32</v>
      </c>
      <c r="K17" s="28">
        <f>INDEX(K19:K21,$H$7)</f>
        <v>0.32800000000000001</v>
      </c>
      <c r="L17" s="28">
        <f>INDEX(L19:L21,$H$7)</f>
        <v>0.33500000000000002</v>
      </c>
    </row>
    <row r="19" spans="2:12" ht="15" customHeight="1" x14ac:dyDescent="0.4">
      <c r="B19" s="17" t="s">
        <v>173</v>
      </c>
      <c r="H19" s="29">
        <v>0.32</v>
      </c>
      <c r="I19" s="29">
        <v>0.33</v>
      </c>
      <c r="J19" s="29">
        <v>0.33800000000000002</v>
      </c>
      <c r="K19" s="29">
        <v>0.34300000000000003</v>
      </c>
      <c r="L19" s="29">
        <v>0.34799999999999998</v>
      </c>
    </row>
    <row r="20" spans="2:12" ht="15" customHeight="1" x14ac:dyDescent="0.4">
      <c r="B20" s="17" t="s">
        <v>174</v>
      </c>
      <c r="H20" s="29">
        <v>0.29499999999999998</v>
      </c>
      <c r="I20" s="29">
        <v>0.31</v>
      </c>
      <c r="J20" s="29">
        <v>0.32</v>
      </c>
      <c r="K20" s="29">
        <v>0.32800000000000001</v>
      </c>
      <c r="L20" s="29">
        <v>0.33500000000000002</v>
      </c>
    </row>
    <row r="21" spans="2:12" ht="15" customHeight="1" x14ac:dyDescent="0.4">
      <c r="B21" s="17" t="s">
        <v>175</v>
      </c>
      <c r="H21" s="29">
        <v>0.27500000000000002</v>
      </c>
      <c r="I21" s="29">
        <v>0.28000000000000003</v>
      </c>
      <c r="J21" s="29">
        <v>0.28499999999999998</v>
      </c>
      <c r="K21" s="29">
        <v>0.28799999999999998</v>
      </c>
      <c r="L21" s="29">
        <v>0.28999999999999998</v>
      </c>
    </row>
    <row r="24" spans="2:12" ht="15" customHeight="1" x14ac:dyDescent="0.4">
      <c r="B24" s="15" t="s">
        <v>176</v>
      </c>
      <c r="H24" s="28">
        <f>INDEX(H26:H28,$H$7)</f>
        <v>3.3000000000000002E-2</v>
      </c>
      <c r="I24" s="28">
        <f>INDEX(I26:I28,$H$7)</f>
        <v>3.3000000000000002E-2</v>
      </c>
      <c r="J24" s="28">
        <f>INDEX(J26:J28,$H$7)</f>
        <v>3.3000000000000002E-2</v>
      </c>
      <c r="K24" s="28">
        <f>INDEX(K26:K28,$H$7)</f>
        <v>3.3000000000000002E-2</v>
      </c>
      <c r="L24" s="28">
        <f>INDEX(L26:L28,$H$7)</f>
        <v>3.3000000000000002E-2</v>
      </c>
    </row>
    <row r="26" spans="2:12" ht="15" customHeight="1" x14ac:dyDescent="0.4">
      <c r="B26" s="17" t="s">
        <v>173</v>
      </c>
      <c r="H26" s="29">
        <v>0.03</v>
      </c>
      <c r="I26" s="29">
        <v>0.03</v>
      </c>
      <c r="J26" s="29">
        <v>0.03</v>
      </c>
      <c r="K26" s="29">
        <v>0.03</v>
      </c>
      <c r="L26" s="29">
        <v>0.03</v>
      </c>
    </row>
    <row r="27" spans="2:12" ht="15" customHeight="1" x14ac:dyDescent="0.4">
      <c r="B27" s="17" t="s">
        <v>174</v>
      </c>
      <c r="H27" s="29">
        <v>3.3000000000000002E-2</v>
      </c>
      <c r="I27" s="29">
        <v>3.3000000000000002E-2</v>
      </c>
      <c r="J27" s="29">
        <v>3.3000000000000002E-2</v>
      </c>
      <c r="K27" s="29">
        <v>3.3000000000000002E-2</v>
      </c>
      <c r="L27" s="29">
        <v>3.3000000000000002E-2</v>
      </c>
    </row>
    <row r="28" spans="2:12" ht="15" customHeight="1" x14ac:dyDescent="0.4">
      <c r="B28" s="17" t="s">
        <v>175</v>
      </c>
      <c r="H28" s="29">
        <v>3.7999999999999999E-2</v>
      </c>
      <c r="I28" s="29">
        <v>3.7999999999999999E-2</v>
      </c>
      <c r="J28" s="29">
        <v>3.7999999999999999E-2</v>
      </c>
      <c r="K28" s="29">
        <v>3.7999999999999999E-2</v>
      </c>
      <c r="L28" s="29">
        <v>3.7999999999999999E-2</v>
      </c>
    </row>
    <row r="33" spans="2:16" ht="21.75" customHeight="1" x14ac:dyDescent="0.35">
      <c r="B33" s="174" t="s">
        <v>177</v>
      </c>
      <c r="C33" s="174"/>
      <c r="D33" s="174"/>
      <c r="E33" s="174"/>
      <c r="F33" s="174"/>
      <c r="G33" s="174"/>
      <c r="H33" s="174"/>
      <c r="I33" s="174"/>
      <c r="J33" s="174"/>
      <c r="K33" s="174"/>
      <c r="L33" s="174"/>
      <c r="M33" s="174"/>
      <c r="N33" s="174"/>
      <c r="O33" s="174"/>
      <c r="P33" s="174"/>
    </row>
    <row r="35" spans="2:16" ht="15" customHeight="1" x14ac:dyDescent="0.4">
      <c r="B35" s="13" t="s">
        <v>124</v>
      </c>
      <c r="H35" s="14" t="s">
        <v>130</v>
      </c>
      <c r="I35" s="14" t="s">
        <v>131</v>
      </c>
      <c r="J35" s="14" t="s">
        <v>132</v>
      </c>
      <c r="K35" s="14" t="s">
        <v>133</v>
      </c>
      <c r="L35" s="14" t="s">
        <v>134</v>
      </c>
    </row>
    <row r="38" spans="2:16" ht="15" customHeight="1" x14ac:dyDescent="0.4">
      <c r="B38" s="15" t="s">
        <v>178</v>
      </c>
    </row>
    <row r="39" spans="2:16" ht="15" customHeight="1" x14ac:dyDescent="0.4">
      <c r="B39" s="1" t="s">
        <v>179</v>
      </c>
      <c r="F39" s="25" t="s">
        <v>180</v>
      </c>
      <c r="H39" s="30">
        <v>18.5</v>
      </c>
      <c r="I39" s="30">
        <v>18.5</v>
      </c>
      <c r="J39" s="30">
        <v>18.5</v>
      </c>
      <c r="K39" s="30">
        <v>18.5</v>
      </c>
      <c r="L39" s="30">
        <v>18.5</v>
      </c>
    </row>
    <row r="40" spans="2:16" ht="15" customHeight="1" x14ac:dyDescent="0.4">
      <c r="B40" s="1" t="s">
        <v>181</v>
      </c>
      <c r="F40" s="25" t="s">
        <v>180</v>
      </c>
      <c r="H40" s="30">
        <v>75</v>
      </c>
      <c r="I40" s="30">
        <v>75</v>
      </c>
      <c r="J40" s="30">
        <v>75</v>
      </c>
      <c r="K40" s="30">
        <v>75</v>
      </c>
      <c r="L40" s="30">
        <v>75</v>
      </c>
    </row>
    <row r="41" spans="2:16" ht="15" customHeight="1" x14ac:dyDescent="0.4">
      <c r="B41" s="1" t="s">
        <v>182</v>
      </c>
      <c r="F41" s="25" t="s">
        <v>183</v>
      </c>
      <c r="H41" s="29">
        <v>0.18</v>
      </c>
      <c r="I41" s="29">
        <v>0.18</v>
      </c>
      <c r="J41" s="29">
        <v>0.18</v>
      </c>
      <c r="K41" s="29">
        <v>0.18</v>
      </c>
      <c r="L41" s="29">
        <v>0.18</v>
      </c>
    </row>
    <row r="43" spans="2:16" ht="15" customHeight="1" x14ac:dyDescent="0.4">
      <c r="B43" s="15" t="s">
        <v>184</v>
      </c>
    </row>
    <row r="44" spans="2:16" ht="15" customHeight="1" x14ac:dyDescent="0.4">
      <c r="B44" s="1" t="s">
        <v>185</v>
      </c>
      <c r="F44" s="25" t="s">
        <v>183</v>
      </c>
      <c r="H44" s="29">
        <v>2.8000000000000001E-2</v>
      </c>
      <c r="I44" s="29">
        <v>2.8000000000000001E-2</v>
      </c>
      <c r="J44" s="29">
        <v>2.8000000000000001E-2</v>
      </c>
      <c r="K44" s="29">
        <v>2.8000000000000001E-2</v>
      </c>
      <c r="L44" s="29">
        <v>2.8000000000000001E-2</v>
      </c>
    </row>
    <row r="45" spans="2:16" ht="15" customHeight="1" x14ac:dyDescent="0.4">
      <c r="B45" s="1" t="s">
        <v>186</v>
      </c>
      <c r="F45" s="25" t="s">
        <v>187</v>
      </c>
      <c r="H45" s="29">
        <v>0.88</v>
      </c>
      <c r="I45" s="29">
        <v>0.88</v>
      </c>
      <c r="J45" s="29">
        <v>0.88</v>
      </c>
      <c r="K45" s="29">
        <v>0.88</v>
      </c>
      <c r="L45" s="29">
        <v>0.88</v>
      </c>
    </row>
    <row r="46" spans="2:16" ht="15" customHeight="1" x14ac:dyDescent="0.4">
      <c r="B46" s="1" t="s">
        <v>188</v>
      </c>
      <c r="F46" s="25" t="s">
        <v>189</v>
      </c>
      <c r="H46" s="29">
        <v>7.3999999999999996E-2</v>
      </c>
      <c r="I46" s="29">
        <v>7.3999999999999996E-2</v>
      </c>
      <c r="J46" s="29">
        <v>7.3999999999999996E-2</v>
      </c>
      <c r="K46" s="29">
        <v>7.3999999999999996E-2</v>
      </c>
      <c r="L46" s="29">
        <v>7.3999999999999996E-2</v>
      </c>
    </row>
    <row r="48" spans="2:16" ht="15" customHeight="1" x14ac:dyDescent="0.4">
      <c r="C48" s="15" t="s">
        <v>190</v>
      </c>
      <c r="H48" s="15" t="s">
        <v>191</v>
      </c>
    </row>
    <row r="49" spans="3:12" ht="15" customHeight="1" x14ac:dyDescent="0.4">
      <c r="C49" s="1" t="s">
        <v>192</v>
      </c>
      <c r="E49" s="25" t="s">
        <v>193</v>
      </c>
      <c r="F49" s="31">
        <v>2027</v>
      </c>
      <c r="H49" s="1" t="s">
        <v>194</v>
      </c>
      <c r="L49" s="32">
        <v>0.25168000000000001</v>
      </c>
    </row>
    <row r="50" spans="3:12" ht="15" customHeight="1" x14ac:dyDescent="0.4">
      <c r="C50" s="1" t="s">
        <v>195</v>
      </c>
      <c r="F50" s="31" t="s">
        <v>196</v>
      </c>
    </row>
    <row r="52" spans="3:12" ht="15" customHeight="1" x14ac:dyDescent="0.4">
      <c r="C52" s="15" t="s">
        <v>197</v>
      </c>
      <c r="H52" s="15" t="s">
        <v>198</v>
      </c>
    </row>
    <row r="53" spans="3:12" ht="15" customHeight="1" x14ac:dyDescent="0.4">
      <c r="C53" s="1" t="s">
        <v>149</v>
      </c>
      <c r="F53" s="32">
        <v>0.05</v>
      </c>
      <c r="H53" s="1" t="s">
        <v>199</v>
      </c>
      <c r="L53" s="32">
        <v>6.8000000000000005E-2</v>
      </c>
    </row>
    <row r="54" spans="3:12" ht="15" customHeight="1" x14ac:dyDescent="0.4">
      <c r="C54" s="1" t="s">
        <v>200</v>
      </c>
      <c r="E54" s="25" t="s">
        <v>201</v>
      </c>
      <c r="F54" s="33">
        <v>285</v>
      </c>
      <c r="H54" s="1" t="s">
        <v>202</v>
      </c>
      <c r="L54" s="32">
        <v>7.0000000000000007E-2</v>
      </c>
    </row>
    <row r="55" spans="3:12" ht="15" customHeight="1" x14ac:dyDescent="0.4">
      <c r="C55" s="1" t="s">
        <v>203</v>
      </c>
      <c r="E55" s="25" t="s">
        <v>204</v>
      </c>
      <c r="F55" s="34">
        <v>1252.9467999999999</v>
      </c>
      <c r="H55" s="1" t="s">
        <v>205</v>
      </c>
      <c r="L55" s="34">
        <v>0.55000000000000004</v>
      </c>
    </row>
    <row r="56" spans="3:12" ht="15" customHeight="1" x14ac:dyDescent="0.4">
      <c r="H56" s="1" t="s">
        <v>206</v>
      </c>
      <c r="L56" s="32">
        <v>7.4999999999999997E-2</v>
      </c>
    </row>
    <row r="57" spans="3:12" ht="15" customHeight="1" x14ac:dyDescent="0.4">
      <c r="H57" s="1" t="s">
        <v>207</v>
      </c>
      <c r="L57" s="35">
        <f>L53+L55*L54</f>
        <v>0.10650000000000001</v>
      </c>
    </row>
    <row r="58" spans="3:12" ht="15" customHeight="1" x14ac:dyDescent="0.4">
      <c r="H58" s="1" t="s">
        <v>208</v>
      </c>
      <c r="L58" s="35">
        <f>L56*(1-L49)</f>
        <v>5.6124E-2</v>
      </c>
    </row>
    <row r="59" spans="3:12" ht="15" customHeight="1" x14ac:dyDescent="0.4">
      <c r="H59" s="1" t="s">
        <v>209</v>
      </c>
      <c r="L59" s="18">
        <f>F54*F55</f>
        <v>357089.83799999999</v>
      </c>
    </row>
    <row r="60" spans="3:12" ht="15" customHeight="1" x14ac:dyDescent="0.4">
      <c r="H60" s="1" t="s">
        <v>210</v>
      </c>
      <c r="L60" s="18">
        <f>Model!$J$100</f>
        <v>2186.2199999999998</v>
      </c>
    </row>
    <row r="61" spans="3:12" ht="15" customHeight="1" x14ac:dyDescent="0.4">
      <c r="H61" s="1" t="s">
        <v>211</v>
      </c>
      <c r="L61" s="36">
        <f>L59/(L59+L60)</f>
        <v>0.99391492989493901</v>
      </c>
    </row>
    <row r="62" spans="3:12" ht="15" customHeight="1" x14ac:dyDescent="0.4">
      <c r="H62" s="1" t="s">
        <v>212</v>
      </c>
      <c r="L62" s="36">
        <f>L60/(L59+L60)</f>
        <v>6.0850701050611062E-3</v>
      </c>
    </row>
    <row r="63" spans="3:12" ht="15" customHeight="1" x14ac:dyDescent="0.4">
      <c r="H63" s="20" t="s">
        <v>148</v>
      </c>
      <c r="L63" s="21">
        <f>L61*L57+L62*L58</f>
        <v>0.10619345850838746</v>
      </c>
    </row>
    <row r="66" spans="2:12" ht="17.25" customHeight="1" x14ac:dyDescent="0.35">
      <c r="B66" s="37" t="s">
        <v>213</v>
      </c>
    </row>
    <row r="68" spans="2:12" ht="15" customHeight="1" x14ac:dyDescent="0.4">
      <c r="B68" s="13" t="s">
        <v>214</v>
      </c>
      <c r="H68" s="14" t="s">
        <v>130</v>
      </c>
      <c r="I68" s="14" t="s">
        <v>131</v>
      </c>
      <c r="J68" s="14" t="s">
        <v>132</v>
      </c>
      <c r="K68" s="14" t="s">
        <v>133</v>
      </c>
      <c r="L68" s="14" t="s">
        <v>134</v>
      </c>
    </row>
    <row r="70" spans="2:12" ht="15" customHeight="1" x14ac:dyDescent="0.4">
      <c r="B70" s="1" t="s">
        <v>215</v>
      </c>
      <c r="F70" s="25" t="s">
        <v>216</v>
      </c>
      <c r="H70" s="29">
        <v>4.4999999999999998E-2</v>
      </c>
      <c r="I70" s="29">
        <v>4.2500000000000003E-2</v>
      </c>
      <c r="J70" s="29">
        <v>0.04</v>
      </c>
      <c r="K70" s="29">
        <v>3.7499999999999999E-2</v>
      </c>
      <c r="L70" s="29">
        <v>3.5000000000000003E-2</v>
      </c>
    </row>
    <row r="73" spans="2:12" ht="15" customHeight="1" x14ac:dyDescent="0.4">
      <c r="B73" s="15" t="s">
        <v>217</v>
      </c>
    </row>
    <row r="74" spans="2:12" ht="15" customHeight="1" x14ac:dyDescent="0.4">
      <c r="B74" s="1" t="s">
        <v>218</v>
      </c>
      <c r="F74" s="25" t="s">
        <v>219</v>
      </c>
      <c r="H74" s="30">
        <v>13.5</v>
      </c>
    </row>
    <row r="75" spans="2:12" ht="15" customHeight="1" x14ac:dyDescent="0.4">
      <c r="B75" s="1" t="s">
        <v>220</v>
      </c>
      <c r="F75" s="25" t="s">
        <v>219</v>
      </c>
      <c r="H75" s="30">
        <v>15</v>
      </c>
    </row>
    <row r="76" spans="2:12" ht="15" customHeight="1" x14ac:dyDescent="0.4">
      <c r="B76" s="1" t="s">
        <v>221</v>
      </c>
      <c r="F76" s="25" t="s">
        <v>222</v>
      </c>
      <c r="H76" s="29">
        <v>0.5</v>
      </c>
    </row>
    <row r="77" spans="2:12" ht="15" customHeight="1" x14ac:dyDescent="0.4">
      <c r="B77" s="1" t="s">
        <v>223</v>
      </c>
      <c r="F77" s="25" t="s">
        <v>224</v>
      </c>
      <c r="H77" s="29">
        <v>0.15</v>
      </c>
    </row>
    <row r="80" spans="2:12" ht="15" customHeight="1" x14ac:dyDescent="0.4">
      <c r="B80" s="15" t="s">
        <v>225</v>
      </c>
    </row>
    <row r="81" spans="2:8" ht="15" customHeight="1" x14ac:dyDescent="0.4">
      <c r="B81" s="1" t="s">
        <v>226</v>
      </c>
      <c r="F81" s="25" t="s">
        <v>224</v>
      </c>
      <c r="H81" s="29">
        <v>0.04</v>
      </c>
    </row>
    <row r="82" spans="2:8" ht="15" customHeight="1" x14ac:dyDescent="0.4">
      <c r="B82" s="1" t="s">
        <v>227</v>
      </c>
      <c r="F82" s="25" t="s">
        <v>224</v>
      </c>
      <c r="H82" s="29">
        <v>0.09</v>
      </c>
    </row>
  </sheetData>
  <mergeCells count="2">
    <mergeCell ref="B3:P3"/>
    <mergeCell ref="B33:P33"/>
  </mergeCells>
  <pageMargins left="0.75" right="0.75" top="1" bottom="1" header="0.511811023622047" footer="0.511811023622047"/>
  <pageSetup paperSize="9" fitToHeight="0" orientation="landscape" horizontalDpi="300" verticalDpi="30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Q435"/>
  <sheetViews>
    <sheetView showGridLines="0" zoomScale="55" zoomScaleNormal="55" workbookViewId="0">
      <pane xSplit="5" ySplit="6" topLeftCell="F165" activePane="bottomRight" state="frozen"/>
      <selection pane="topRight" activeCell="F1" sqref="F1"/>
      <selection pane="bottomLeft" activeCell="A39" sqref="A39"/>
      <selection pane="bottomRight" activeCell="A194" sqref="A194"/>
    </sheetView>
  </sheetViews>
  <sheetFormatPr defaultColWidth="8.7265625" defaultRowHeight="14.5" outlineLevelRow="1" x14ac:dyDescent="0.35"/>
  <cols>
    <col min="1" max="1" width="3" style="1" customWidth="1"/>
    <col min="2" max="2" width="77.7265625" style="1" customWidth="1"/>
    <col min="3" max="3" width="13" style="1" customWidth="1"/>
    <col min="4" max="4" width="9.26953125" style="1" customWidth="1"/>
    <col min="5" max="5" width="8.453125" style="1" customWidth="1"/>
    <col min="6" max="7" width="18.7265625" style="1" customWidth="1"/>
    <col min="8" max="9" width="14.54296875" style="1" customWidth="1"/>
    <col min="10" max="10" width="15.7265625" style="1" customWidth="1"/>
    <col min="12" max="15" width="10.26953125" style="1" customWidth="1"/>
    <col min="16" max="16" width="3" style="1" customWidth="1"/>
    <col min="17" max="17" width="55" style="1" customWidth="1"/>
  </cols>
  <sheetData>
    <row r="3" spans="1:16" ht="21.75" customHeight="1" x14ac:dyDescent="0.35">
      <c r="A3" s="38">
        <v>1</v>
      </c>
      <c r="B3" s="174" t="s">
        <v>228</v>
      </c>
      <c r="C3" s="174"/>
      <c r="D3" s="174"/>
      <c r="E3" s="174"/>
      <c r="F3" s="174"/>
      <c r="G3" s="174"/>
      <c r="H3" s="174"/>
      <c r="I3" s="174"/>
      <c r="J3" s="174"/>
      <c r="K3" s="174"/>
      <c r="L3" s="174"/>
      <c r="M3" s="174"/>
      <c r="N3" s="174"/>
      <c r="O3" s="174"/>
      <c r="P3" s="174"/>
    </row>
    <row r="4" spans="1:16" ht="15" customHeight="1" outlineLevel="1" x14ac:dyDescent="0.35"/>
    <row r="5" spans="1:16" ht="15" customHeight="1" outlineLevel="1" x14ac:dyDescent="0.4">
      <c r="B5" s="13" t="s">
        <v>124</v>
      </c>
      <c r="F5" s="14">
        <v>2022</v>
      </c>
      <c r="G5" s="14">
        <v>2023</v>
      </c>
      <c r="H5" s="14">
        <v>2024</v>
      </c>
      <c r="I5" s="14">
        <v>2025</v>
      </c>
      <c r="J5" s="14">
        <v>2026</v>
      </c>
      <c r="K5" s="14" t="s">
        <v>130</v>
      </c>
      <c r="L5" s="14" t="s">
        <v>131</v>
      </c>
      <c r="M5" s="14" t="s">
        <v>132</v>
      </c>
      <c r="N5" s="14" t="s">
        <v>133</v>
      </c>
      <c r="O5" s="14" t="s">
        <v>134</v>
      </c>
    </row>
    <row r="6" spans="1:16" ht="15" customHeight="1" outlineLevel="1" x14ac:dyDescent="0.35">
      <c r="B6" s="16" t="str">
        <f>CONCATENATE("Model Running: ",INDEX(Inputs!$B$12:$B$14,Inputs!$H$7)," Drivers")</f>
        <v>Model Running: Base Case Drivers</v>
      </c>
    </row>
    <row r="7" spans="1:16" ht="15" customHeight="1" outlineLevel="1" x14ac:dyDescent="0.35"/>
    <row r="8" spans="1:16" ht="15" customHeight="1" outlineLevel="1" x14ac:dyDescent="0.35"/>
    <row r="9" spans="1:16" ht="15" customHeight="1" outlineLevel="1" x14ac:dyDescent="0.35"/>
    <row r="10" spans="1:16" ht="15" customHeight="1" outlineLevel="1" x14ac:dyDescent="0.35"/>
    <row r="11" spans="1:16" ht="15" customHeight="1" outlineLevel="1" x14ac:dyDescent="0.4">
      <c r="B11" s="17" t="s">
        <v>137</v>
      </c>
      <c r="F11" s="39">
        <v>60644.54</v>
      </c>
      <c r="G11" s="39">
        <v>70919.03</v>
      </c>
      <c r="H11" s="39">
        <v>73891.429999999993</v>
      </c>
      <c r="I11" s="39">
        <v>81612.78</v>
      </c>
      <c r="J11" s="39">
        <v>89913.33</v>
      </c>
      <c r="K11" s="18">
        <f>K128</f>
        <v>96656.82974999999</v>
      </c>
      <c r="L11" s="18">
        <f>L128</f>
        <v>103422.8078325</v>
      </c>
      <c r="M11" s="18">
        <f>M128</f>
        <v>110145.29034161249</v>
      </c>
      <c r="N11" s="18">
        <f>N128</f>
        <v>116754.00776210924</v>
      </c>
      <c r="O11" s="18">
        <f>O128</f>
        <v>123175.47818902526</v>
      </c>
    </row>
    <row r="12" spans="1:16" ht="15" customHeight="1" outlineLevel="1" x14ac:dyDescent="0.4">
      <c r="B12" s="17" t="s">
        <v>34</v>
      </c>
      <c r="F12" s="39">
        <v>-30534.51</v>
      </c>
      <c r="G12" s="39">
        <v>-33283.089999999997</v>
      </c>
      <c r="H12" s="39">
        <v>-32940.29</v>
      </c>
      <c r="I12" s="39">
        <v>-38268.160000000003</v>
      </c>
      <c r="J12" s="39">
        <v>-43592.81</v>
      </c>
      <c r="K12" s="18">
        <f>-(K161)</f>
        <v>-46814.285636966255</v>
      </c>
      <c r="L12" s="18">
        <f>-(L161)</f>
        <v>-49025.51359683997</v>
      </c>
      <c r="M12" s="18">
        <f>-(M161)</f>
        <v>-51455.473835987694</v>
      </c>
      <c r="N12" s="18">
        <f>-(N161)</f>
        <v>-53901.122239486394</v>
      </c>
      <c r="O12" s="18">
        <f>-(O161)</f>
        <v>-56273.33308804714</v>
      </c>
    </row>
    <row r="13" spans="1:16" ht="15" customHeight="1" outlineLevel="1" x14ac:dyDescent="0.4">
      <c r="B13" s="15" t="s">
        <v>234</v>
      </c>
      <c r="F13" s="40">
        <f t="shared" ref="F13:O13" si="0">SUM(F11:F12)</f>
        <v>30110.030000000002</v>
      </c>
      <c r="G13" s="40">
        <f t="shared" si="0"/>
        <v>37635.94</v>
      </c>
      <c r="H13" s="40">
        <f t="shared" si="0"/>
        <v>40951.139999999992</v>
      </c>
      <c r="I13" s="40">
        <f t="shared" si="0"/>
        <v>43344.619999999995</v>
      </c>
      <c r="J13" s="40">
        <f t="shared" si="0"/>
        <v>46320.520000000004</v>
      </c>
      <c r="K13" s="40">
        <f t="shared" si="0"/>
        <v>49842.544113033735</v>
      </c>
      <c r="L13" s="40">
        <f t="shared" si="0"/>
        <v>54397.294235660025</v>
      </c>
      <c r="M13" s="40">
        <f t="shared" si="0"/>
        <v>58689.816505624796</v>
      </c>
      <c r="N13" s="40">
        <f t="shared" si="0"/>
        <v>62852.885522622841</v>
      </c>
      <c r="O13" s="40">
        <f t="shared" si="0"/>
        <v>66902.145100978116</v>
      </c>
    </row>
    <row r="14" spans="1:16" ht="15" customHeight="1" outlineLevel="1" x14ac:dyDescent="0.35"/>
    <row r="15" spans="1:16" ht="15" customHeight="1" outlineLevel="1" x14ac:dyDescent="0.35"/>
    <row r="16" spans="1:16" ht="15" customHeight="1" outlineLevel="1" x14ac:dyDescent="0.4">
      <c r="B16" s="17" t="s">
        <v>36</v>
      </c>
      <c r="F16" s="39">
        <v>-9748.93</v>
      </c>
      <c r="G16" s="39">
        <v>-11340.3</v>
      </c>
      <c r="H16" s="39">
        <v>-5548.53</v>
      </c>
      <c r="I16" s="39">
        <v>-6169.78</v>
      </c>
      <c r="J16" s="39">
        <v>-6781.5</v>
      </c>
      <c r="K16" s="18">
        <f t="shared" ref="K16:O17" si="1">-(K162)</f>
        <v>-7563.880212086251</v>
      </c>
      <c r="L16" s="18">
        <f t="shared" si="1"/>
        <v>-7921.1528518911737</v>
      </c>
      <c r="M16" s="18">
        <f t="shared" si="1"/>
        <v>-8313.7665149849108</v>
      </c>
      <c r="N16" s="18">
        <f t="shared" si="1"/>
        <v>-8708.9149469912518</v>
      </c>
      <c r="O16" s="18">
        <f t="shared" si="1"/>
        <v>-9092.1979225229006</v>
      </c>
    </row>
    <row r="17" spans="2:15" ht="15" customHeight="1" outlineLevel="1" x14ac:dyDescent="0.4">
      <c r="B17" s="17" t="s">
        <v>38</v>
      </c>
      <c r="F17" s="39">
        <v>-1109.95</v>
      </c>
      <c r="G17" s="39">
        <v>-1308.56</v>
      </c>
      <c r="H17" s="39">
        <v>-10152.82</v>
      </c>
      <c r="I17" s="39">
        <v>-11196.63</v>
      </c>
      <c r="J17" s="39">
        <v>-12221.11</v>
      </c>
      <c r="K17" s="38">
        <f t="shared" si="1"/>
        <v>-13764.899124697502</v>
      </c>
      <c r="L17" s="18">
        <f t="shared" si="1"/>
        <v>-14415.070955693849</v>
      </c>
      <c r="M17" s="18">
        <f t="shared" si="1"/>
        <v>-15129.557081323892</v>
      </c>
      <c r="N17" s="18">
        <f t="shared" si="1"/>
        <v>-15848.656029659756</v>
      </c>
      <c r="O17" s="18">
        <f t="shared" si="1"/>
        <v>-16546.161985131766</v>
      </c>
    </row>
    <row r="18" spans="2:15" ht="15" customHeight="1" outlineLevel="1" x14ac:dyDescent="0.4">
      <c r="B18" s="15" t="s">
        <v>138</v>
      </c>
      <c r="F18" s="40">
        <f t="shared" ref="F18:O18" si="2">F13+F16+F17</f>
        <v>19251.150000000001</v>
      </c>
      <c r="G18" s="40">
        <f t="shared" si="2"/>
        <v>24987.08</v>
      </c>
      <c r="H18" s="40">
        <f t="shared" si="2"/>
        <v>25249.789999999994</v>
      </c>
      <c r="I18" s="40">
        <f t="shared" si="2"/>
        <v>25978.21</v>
      </c>
      <c r="J18" s="40">
        <f t="shared" si="2"/>
        <v>27317.910000000003</v>
      </c>
      <c r="K18" s="40">
        <f t="shared" si="2"/>
        <v>28513.76477624998</v>
      </c>
      <c r="L18" s="40">
        <f t="shared" si="2"/>
        <v>32061.070428075003</v>
      </c>
      <c r="M18" s="40">
        <f t="shared" si="2"/>
        <v>35246.492909315988</v>
      </c>
      <c r="N18" s="40">
        <f t="shared" si="2"/>
        <v>38295.314545971836</v>
      </c>
      <c r="O18" s="40">
        <f t="shared" si="2"/>
        <v>41263.785193323449</v>
      </c>
    </row>
    <row r="19" spans="2:15" ht="15" customHeight="1" outlineLevel="1" x14ac:dyDescent="0.35">
      <c r="B19" s="16" t="s">
        <v>235</v>
      </c>
      <c r="F19" s="19">
        <f t="shared" ref="F19:O19" si="3">F18/F11</f>
        <v>0.31744242762827457</v>
      </c>
      <c r="G19" s="19">
        <f t="shared" si="3"/>
        <v>0.35233251216210942</v>
      </c>
      <c r="H19" s="19">
        <f t="shared" si="3"/>
        <v>0.34171472929945995</v>
      </c>
      <c r="I19" s="19">
        <f t="shared" si="3"/>
        <v>0.3183105636151593</v>
      </c>
      <c r="J19" s="19">
        <f t="shared" si="3"/>
        <v>0.30382491672814255</v>
      </c>
      <c r="K19" s="19">
        <f t="shared" si="3"/>
        <v>0.29499999999999982</v>
      </c>
      <c r="L19" s="19">
        <f t="shared" si="3"/>
        <v>0.31000000000000005</v>
      </c>
      <c r="M19" s="19">
        <f t="shared" si="3"/>
        <v>0.3199999999999999</v>
      </c>
      <c r="N19" s="19">
        <f t="shared" si="3"/>
        <v>0.32800000000000007</v>
      </c>
      <c r="O19" s="19">
        <f t="shared" si="3"/>
        <v>0.33499999999999991</v>
      </c>
    </row>
    <row r="20" spans="2:15" ht="15" customHeight="1" outlineLevel="1" x14ac:dyDescent="0.35"/>
    <row r="21" spans="2:15" ht="15" customHeight="1" outlineLevel="1" x14ac:dyDescent="0.4">
      <c r="B21" s="17" t="s">
        <v>188</v>
      </c>
      <c r="F21" s="39">
        <v>-1732.41</v>
      </c>
      <c r="G21" s="39">
        <v>-1809.01</v>
      </c>
      <c r="H21" s="39">
        <v>-1518.05</v>
      </c>
      <c r="I21" s="39">
        <v>-1646.32</v>
      </c>
      <c r="J21" s="39">
        <v>-1710.53</v>
      </c>
      <c r="K21" s="18">
        <f>-K226</f>
        <v>-1577.062512725</v>
      </c>
      <c r="L21" s="18">
        <f>-L226</f>
        <v>-1797.1501140657501</v>
      </c>
      <c r="M21" s="18">
        <f>-M226</f>
        <v>-2032.0750220572736</v>
      </c>
      <c r="N21" s="18">
        <f>-N226</f>
        <v>-2281.6642499713676</v>
      </c>
      <c r="O21" s="18">
        <f>-O226</f>
        <v>-2545.5866845176156</v>
      </c>
    </row>
    <row r="22" spans="2:15" ht="15" customHeight="1" outlineLevel="1" x14ac:dyDescent="0.4">
      <c r="B22" s="15" t="s">
        <v>236</v>
      </c>
      <c r="F22" s="40">
        <f t="shared" ref="F22:O22" si="4">F18+F21</f>
        <v>17518.740000000002</v>
      </c>
      <c r="G22" s="40">
        <f t="shared" si="4"/>
        <v>23178.070000000003</v>
      </c>
      <c r="H22" s="40">
        <f t="shared" si="4"/>
        <v>23731.739999999994</v>
      </c>
      <c r="I22" s="40">
        <f t="shared" si="4"/>
        <v>24331.89</v>
      </c>
      <c r="J22" s="40">
        <f t="shared" si="4"/>
        <v>25607.380000000005</v>
      </c>
      <c r="K22" s="40">
        <f t="shared" si="4"/>
        <v>26936.702263524981</v>
      </c>
      <c r="L22" s="40">
        <f t="shared" si="4"/>
        <v>30263.920314009254</v>
      </c>
      <c r="M22" s="40">
        <f t="shared" si="4"/>
        <v>33214.417887258714</v>
      </c>
      <c r="N22" s="40">
        <f t="shared" si="4"/>
        <v>36013.650296000465</v>
      </c>
      <c r="O22" s="40">
        <f t="shared" si="4"/>
        <v>38718.198508805835</v>
      </c>
    </row>
    <row r="23" spans="2:15" ht="15" customHeight="1" outlineLevel="1" x14ac:dyDescent="0.35"/>
    <row r="24" spans="2:15" ht="15" customHeight="1" outlineLevel="1" x14ac:dyDescent="0.35"/>
    <row r="25" spans="2:15" ht="15" customHeight="1" outlineLevel="1" x14ac:dyDescent="0.4">
      <c r="B25" s="17" t="s">
        <v>237</v>
      </c>
      <c r="F25" s="39">
        <v>-59.99</v>
      </c>
      <c r="G25" s="39">
        <v>-77.77</v>
      </c>
      <c r="H25" s="39">
        <v>-39.11</v>
      </c>
      <c r="I25" s="39">
        <v>-45.06</v>
      </c>
      <c r="J25" s="39">
        <v>-85.17</v>
      </c>
      <c r="K25" s="18">
        <f>-K292</f>
        <v>-163.96649999999997</v>
      </c>
      <c r="L25" s="18">
        <f>-L292</f>
        <v>-252.03741610396236</v>
      </c>
      <c r="M25" s="18">
        <f>-M292</f>
        <v>-403.65145524885463</v>
      </c>
      <c r="N25" s="18">
        <f>-N292</f>
        <v>-532.31145140015678</v>
      </c>
      <c r="O25" s="18">
        <f>-O292</f>
        <v>-633.9934797568875</v>
      </c>
    </row>
    <row r="26" spans="2:15" ht="15" customHeight="1" outlineLevel="1" x14ac:dyDescent="0.4">
      <c r="B26" s="17" t="s">
        <v>185</v>
      </c>
      <c r="F26" s="39">
        <v>1909.72</v>
      </c>
      <c r="G26" s="39">
        <v>2097.64</v>
      </c>
      <c r="H26" s="39">
        <v>2707.65</v>
      </c>
      <c r="I26" s="39">
        <v>2640.11</v>
      </c>
      <c r="J26" s="39">
        <v>2511.1799999999998</v>
      </c>
      <c r="K26" s="18">
        <f>K11*Inputs!H44</f>
        <v>2706.3912329999998</v>
      </c>
      <c r="L26" s="18">
        <f>L11*Inputs!I44</f>
        <v>2895.83861931</v>
      </c>
      <c r="M26" s="18">
        <f>M11*Inputs!J44</f>
        <v>3084.0681295651498</v>
      </c>
      <c r="N26" s="18">
        <f>N11*Inputs!K44</f>
        <v>3269.1122173390586</v>
      </c>
      <c r="O26" s="18">
        <f>O11*Inputs!L44</f>
        <v>3448.9133892927075</v>
      </c>
    </row>
    <row r="27" spans="2:15" ht="15" customHeight="1" outlineLevel="1" x14ac:dyDescent="0.4">
      <c r="B27" s="15" t="s">
        <v>238</v>
      </c>
      <c r="F27" s="41">
        <f t="shared" ref="F27:O27" si="5">F22+F25+F26</f>
        <v>19368.47</v>
      </c>
      <c r="G27" s="41">
        <f t="shared" si="5"/>
        <v>25197.940000000002</v>
      </c>
      <c r="H27" s="41">
        <f t="shared" si="5"/>
        <v>26400.279999999995</v>
      </c>
      <c r="I27" s="41">
        <f t="shared" si="5"/>
        <v>26926.94</v>
      </c>
      <c r="J27" s="41">
        <f t="shared" si="5"/>
        <v>28033.390000000007</v>
      </c>
      <c r="K27" s="41">
        <f t="shared" si="5"/>
        <v>29479.126996524981</v>
      </c>
      <c r="L27" s="41">
        <f t="shared" si="5"/>
        <v>32907.721517215294</v>
      </c>
      <c r="M27" s="41">
        <f t="shared" si="5"/>
        <v>35894.834561575015</v>
      </c>
      <c r="N27" s="41">
        <f t="shared" si="5"/>
        <v>38750.45106193937</v>
      </c>
      <c r="O27" s="41">
        <f t="shared" si="5"/>
        <v>41533.118418341655</v>
      </c>
    </row>
    <row r="28" spans="2:15" ht="15" customHeight="1" outlineLevel="1" x14ac:dyDescent="0.35"/>
    <row r="29" spans="2:15" ht="15" customHeight="1" outlineLevel="1" x14ac:dyDescent="0.35"/>
    <row r="30" spans="2:15" ht="15" customHeight="1" outlineLevel="1" x14ac:dyDescent="0.4">
      <c r="B30" s="17" t="s">
        <v>239</v>
      </c>
      <c r="F30" s="39">
        <v>-5237.34</v>
      </c>
      <c r="G30" s="39">
        <v>-6438.4</v>
      </c>
      <c r="H30" s="39">
        <v>-6017.21</v>
      </c>
      <c r="I30" s="39">
        <v>-6509.61</v>
      </c>
      <c r="J30" s="39">
        <v>-6412.97</v>
      </c>
      <c r="K30" s="18">
        <f t="shared" ref="K30:O31" si="6">-K367</f>
        <v>-7006.4478807021223</v>
      </c>
      <c r="L30" s="18">
        <f t="shared" si="6"/>
        <v>-7921.583074535547</v>
      </c>
      <c r="M30" s="18">
        <f t="shared" si="6"/>
        <v>-8721.4131621296583</v>
      </c>
      <c r="N30" s="18">
        <f t="shared" si="6"/>
        <v>-9485.1986681214239</v>
      </c>
      <c r="O30" s="18">
        <f t="shared" si="6"/>
        <v>-10228.775007509541</v>
      </c>
    </row>
    <row r="31" spans="2:15" ht="15" customHeight="1" outlineLevel="1" x14ac:dyDescent="0.4">
      <c r="B31" s="17" t="s">
        <v>240</v>
      </c>
      <c r="F31" s="39">
        <v>0</v>
      </c>
      <c r="G31" s="39">
        <v>0</v>
      </c>
      <c r="H31" s="39">
        <v>-192.25</v>
      </c>
      <c r="I31" s="39">
        <v>-380.86</v>
      </c>
      <c r="J31" s="39">
        <v>-602.27</v>
      </c>
      <c r="K31" s="18">
        <f t="shared" si="6"/>
        <v>-412.85880178328534</v>
      </c>
      <c r="L31" s="18">
        <f t="shared" si="6"/>
        <v>-360.6322769171984</v>
      </c>
      <c r="M31" s="18">
        <f t="shared" si="6"/>
        <v>-312.59880032754154</v>
      </c>
      <c r="N31" s="18">
        <f t="shared" si="6"/>
        <v>-267.51485514747765</v>
      </c>
      <c r="O31" s="18">
        <f t="shared" si="6"/>
        <v>-224.28023601868699</v>
      </c>
    </row>
    <row r="32" spans="2:15" ht="15" customHeight="1" outlineLevel="1" x14ac:dyDescent="0.4">
      <c r="B32" s="15" t="s">
        <v>241</v>
      </c>
      <c r="F32" s="40">
        <f t="shared" ref="F32:O32" si="7">SUM(F30:F31)</f>
        <v>-5237.34</v>
      </c>
      <c r="G32" s="40">
        <f t="shared" si="7"/>
        <v>-6438.4</v>
      </c>
      <c r="H32" s="40">
        <f t="shared" si="7"/>
        <v>-6209.46</v>
      </c>
      <c r="I32" s="40">
        <f t="shared" si="7"/>
        <v>-6890.4699999999993</v>
      </c>
      <c r="J32" s="40">
        <f t="shared" si="7"/>
        <v>-7015.24</v>
      </c>
      <c r="K32" s="40">
        <f t="shared" si="7"/>
        <v>-7419.3066824854077</v>
      </c>
      <c r="L32" s="40">
        <f t="shared" si="7"/>
        <v>-8282.2153514527454</v>
      </c>
      <c r="M32" s="40">
        <f t="shared" si="7"/>
        <v>-9034.0119624571998</v>
      </c>
      <c r="N32" s="40">
        <f t="shared" si="7"/>
        <v>-9752.7135232689016</v>
      </c>
      <c r="O32" s="40">
        <f t="shared" si="7"/>
        <v>-10453.055243528228</v>
      </c>
    </row>
    <row r="33" spans="1:16" ht="15" customHeight="1" outlineLevel="1" x14ac:dyDescent="0.35"/>
    <row r="34" spans="1:16" ht="15" customHeight="1" outlineLevel="1" x14ac:dyDescent="0.35"/>
    <row r="35" spans="1:16" ht="15" customHeight="1" outlineLevel="1" x14ac:dyDescent="0.4">
      <c r="B35" s="15" t="s">
        <v>140</v>
      </c>
      <c r="F35" s="42">
        <f t="shared" ref="F35:O35" si="8">F27+F32</f>
        <v>14131.130000000001</v>
      </c>
      <c r="G35" s="42">
        <f t="shared" si="8"/>
        <v>18759.54</v>
      </c>
      <c r="H35" s="42">
        <f t="shared" si="8"/>
        <v>20190.819999999996</v>
      </c>
      <c r="I35" s="42">
        <f t="shared" si="8"/>
        <v>20036.47</v>
      </c>
      <c r="J35" s="42">
        <f t="shared" si="8"/>
        <v>21018.150000000009</v>
      </c>
      <c r="K35" s="42">
        <f t="shared" si="8"/>
        <v>22059.820314039574</v>
      </c>
      <c r="L35" s="42">
        <f t="shared" si="8"/>
        <v>24625.506165762548</v>
      </c>
      <c r="M35" s="42">
        <f t="shared" si="8"/>
        <v>26860.822599117815</v>
      </c>
      <c r="N35" s="42">
        <f t="shared" si="8"/>
        <v>28997.737538670466</v>
      </c>
      <c r="O35" s="42">
        <f t="shared" si="8"/>
        <v>31080.063174813426</v>
      </c>
    </row>
    <row r="36" spans="1:16" ht="15" customHeight="1" outlineLevel="1" x14ac:dyDescent="0.35">
      <c r="B36" s="16" t="s">
        <v>242</v>
      </c>
      <c r="F36" s="19">
        <f t="shared" ref="F36:O36" si="9">F35/F11</f>
        <v>0.2330157010012773</v>
      </c>
      <c r="G36" s="19">
        <f t="shared" si="9"/>
        <v>0.26452053842247986</v>
      </c>
      <c r="H36" s="19">
        <f t="shared" si="9"/>
        <v>0.27324982071669202</v>
      </c>
      <c r="I36" s="19">
        <f t="shared" si="9"/>
        <v>0.24550652483593871</v>
      </c>
      <c r="J36" s="19">
        <f t="shared" si="9"/>
        <v>0.23376011098688046</v>
      </c>
      <c r="K36" s="19">
        <f t="shared" si="9"/>
        <v>0.22822826251488532</v>
      </c>
      <c r="L36" s="19">
        <f t="shared" si="9"/>
        <v>0.23810517894317051</v>
      </c>
      <c r="M36" s="19">
        <f t="shared" si="9"/>
        <v>0.2438671913779494</v>
      </c>
      <c r="N36" s="19">
        <f t="shared" si="9"/>
        <v>0.24836609975526036</v>
      </c>
      <c r="O36" s="19">
        <f t="shared" si="9"/>
        <v>0.25232346268725597</v>
      </c>
    </row>
    <row r="37" spans="1:16" ht="15" customHeight="1" outlineLevel="1" x14ac:dyDescent="0.35"/>
    <row r="38" spans="1:16" ht="15" customHeight="1" outlineLevel="1" x14ac:dyDescent="0.35"/>
    <row r="39" spans="1:16" ht="21.75" customHeight="1" x14ac:dyDescent="0.35">
      <c r="A39" s="38">
        <v>2</v>
      </c>
      <c r="B39" s="174" t="s">
        <v>243</v>
      </c>
      <c r="C39" s="174"/>
      <c r="D39" s="174"/>
      <c r="E39" s="174"/>
      <c r="F39" s="174"/>
      <c r="G39" s="174"/>
      <c r="H39" s="174"/>
      <c r="I39" s="174"/>
      <c r="J39" s="174"/>
      <c r="K39" s="174"/>
      <c r="L39" s="174"/>
      <c r="M39" s="174"/>
      <c r="N39" s="174"/>
      <c r="O39" s="174"/>
      <c r="P39" s="174"/>
    </row>
    <row r="40" spans="1:16" ht="15" customHeight="1" outlineLevel="1" x14ac:dyDescent="0.35"/>
    <row r="41" spans="1:16" ht="15" customHeight="1" outlineLevel="1" x14ac:dyDescent="0.4">
      <c r="B41" s="13" t="s">
        <v>124</v>
      </c>
      <c r="F41" s="14" t="s">
        <v>229</v>
      </c>
      <c r="G41" s="14" t="s">
        <v>230</v>
      </c>
      <c r="H41" s="14" t="s">
        <v>231</v>
      </c>
      <c r="I41" s="14" t="s">
        <v>232</v>
      </c>
      <c r="J41" s="14" t="s">
        <v>233</v>
      </c>
      <c r="K41" s="14" t="s">
        <v>130</v>
      </c>
      <c r="L41" s="14" t="s">
        <v>131</v>
      </c>
      <c r="M41" s="14" t="s">
        <v>132</v>
      </c>
      <c r="N41" s="14" t="s">
        <v>133</v>
      </c>
      <c r="O41" s="14" t="s">
        <v>134</v>
      </c>
    </row>
    <row r="42" spans="1:16" ht="15" customHeight="1" outlineLevel="1" x14ac:dyDescent="0.35">
      <c r="B42" s="16" t="str">
        <f>CONCATENATE("Model Running: ",INDEX(Inputs!$B$12:$B$14,Inputs!$H$7)," Drivers")</f>
        <v>Model Running: Base Case Drivers</v>
      </c>
    </row>
    <row r="43" spans="1:16" ht="15" customHeight="1" outlineLevel="1" x14ac:dyDescent="0.35"/>
    <row r="44" spans="1:16" ht="15" customHeight="1" outlineLevel="1" x14ac:dyDescent="0.35"/>
    <row r="45" spans="1:16" ht="15" customHeight="1" outlineLevel="1" x14ac:dyDescent="0.4">
      <c r="B45" s="15" t="s">
        <v>244</v>
      </c>
    </row>
    <row r="46" spans="1:16" ht="15" customHeight="1" outlineLevel="1" x14ac:dyDescent="0.4">
      <c r="B46" s="17" t="s">
        <v>140</v>
      </c>
      <c r="F46" s="18">
        <f t="shared" ref="F46:O46" si="10">F35</f>
        <v>14131.130000000001</v>
      </c>
      <c r="G46" s="18">
        <f t="shared" si="10"/>
        <v>18759.54</v>
      </c>
      <c r="H46" s="18">
        <f t="shared" si="10"/>
        <v>20190.819999999996</v>
      </c>
      <c r="I46" s="18">
        <f t="shared" si="10"/>
        <v>20036.47</v>
      </c>
      <c r="J46" s="18">
        <f t="shared" si="10"/>
        <v>21018.150000000009</v>
      </c>
      <c r="K46" s="18">
        <f t="shared" si="10"/>
        <v>22059.820314039574</v>
      </c>
      <c r="L46" s="18">
        <f t="shared" si="10"/>
        <v>24625.506165762548</v>
      </c>
      <c r="M46" s="18">
        <f t="shared" si="10"/>
        <v>26860.822599117815</v>
      </c>
      <c r="N46" s="18">
        <f t="shared" si="10"/>
        <v>28997.737538670466</v>
      </c>
      <c r="O46" s="18">
        <f t="shared" si="10"/>
        <v>31080.063174813426</v>
      </c>
    </row>
    <row r="47" spans="1:16" ht="15" customHeight="1" outlineLevel="1" x14ac:dyDescent="0.4">
      <c r="B47" s="17" t="s">
        <v>245</v>
      </c>
      <c r="F47" s="18">
        <f t="shared" ref="F47:O47" si="11">-F31</f>
        <v>0</v>
      </c>
      <c r="G47" s="18">
        <f t="shared" si="11"/>
        <v>0</v>
      </c>
      <c r="H47" s="18">
        <f t="shared" si="11"/>
        <v>192.25</v>
      </c>
      <c r="I47" s="18">
        <f t="shared" si="11"/>
        <v>380.86</v>
      </c>
      <c r="J47" s="18">
        <f t="shared" si="11"/>
        <v>602.27</v>
      </c>
      <c r="K47" s="18">
        <f t="shared" si="11"/>
        <v>412.85880178328534</v>
      </c>
      <c r="L47" s="18">
        <f t="shared" si="11"/>
        <v>360.6322769171984</v>
      </c>
      <c r="M47" s="18">
        <f t="shared" si="11"/>
        <v>312.59880032754154</v>
      </c>
      <c r="N47" s="18">
        <f t="shared" si="11"/>
        <v>267.51485514747765</v>
      </c>
      <c r="O47" s="18">
        <f t="shared" si="11"/>
        <v>224.28023601868699</v>
      </c>
    </row>
    <row r="48" spans="1:16" ht="15" customHeight="1" outlineLevel="1" x14ac:dyDescent="0.4">
      <c r="B48" s="17" t="s">
        <v>188</v>
      </c>
      <c r="F48" s="18">
        <f t="shared" ref="F48:O48" si="12">-F21</f>
        <v>1732.41</v>
      </c>
      <c r="G48" s="18">
        <f t="shared" si="12"/>
        <v>1809.01</v>
      </c>
      <c r="H48" s="18">
        <f t="shared" si="12"/>
        <v>1518.05</v>
      </c>
      <c r="I48" s="18">
        <f t="shared" si="12"/>
        <v>1646.32</v>
      </c>
      <c r="J48" s="18">
        <f t="shared" si="12"/>
        <v>1710.53</v>
      </c>
      <c r="K48" s="18">
        <f t="shared" si="12"/>
        <v>1577.062512725</v>
      </c>
      <c r="L48" s="18">
        <f t="shared" si="12"/>
        <v>1797.1501140657501</v>
      </c>
      <c r="M48" s="18">
        <f t="shared" si="12"/>
        <v>2032.0750220572736</v>
      </c>
      <c r="N48" s="18">
        <f t="shared" si="12"/>
        <v>2281.6642499713676</v>
      </c>
      <c r="O48" s="18">
        <f t="shared" si="12"/>
        <v>2545.5866845176156</v>
      </c>
    </row>
    <row r="49" spans="2:15" ht="15" customHeight="1" outlineLevel="1" x14ac:dyDescent="0.4">
      <c r="B49" s="17" t="s">
        <v>246</v>
      </c>
      <c r="F49" s="18">
        <f t="shared" ref="F49:O49" si="13">-(F83-E83)</f>
        <v>39.799999999999727</v>
      </c>
      <c r="G49" s="18">
        <f t="shared" si="13"/>
        <v>-494.27</v>
      </c>
      <c r="H49" s="18">
        <f t="shared" si="13"/>
        <v>-1069.6500000000001</v>
      </c>
      <c r="I49" s="18">
        <f t="shared" si="13"/>
        <v>-693.84999999999991</v>
      </c>
      <c r="J49" s="18">
        <f t="shared" si="13"/>
        <v>796.81</v>
      </c>
      <c r="K49" s="18">
        <f t="shared" si="13"/>
        <v>-976.18479554794476</v>
      </c>
      <c r="L49" s="18">
        <f t="shared" si="13"/>
        <v>-342.93313568835583</v>
      </c>
      <c r="M49" s="18">
        <f t="shared" si="13"/>
        <v>-340.72856553035945</v>
      </c>
      <c r="N49" s="18">
        <f t="shared" si="13"/>
        <v>-334.96238980599901</v>
      </c>
      <c r="O49" s="18">
        <f t="shared" si="13"/>
        <v>-325.47178876149792</v>
      </c>
    </row>
    <row r="50" spans="2:15" ht="15" customHeight="1" outlineLevel="1" x14ac:dyDescent="0.4">
      <c r="B50" s="17" t="s">
        <v>247</v>
      </c>
      <c r="F50" s="18">
        <f t="shared" ref="F50:O50" si="14">-(F84-E84)</f>
        <v>-466.98999999999978</v>
      </c>
      <c r="G50" s="18">
        <f t="shared" si="14"/>
        <v>-907.01000000000022</v>
      </c>
      <c r="H50" s="18">
        <f t="shared" si="14"/>
        <v>-2531.7199999999993</v>
      </c>
      <c r="I50" s="18">
        <f t="shared" si="14"/>
        <v>-1533.2600000000002</v>
      </c>
      <c r="J50" s="18">
        <f t="shared" si="14"/>
        <v>-3036.510000000002</v>
      </c>
      <c r="K50" s="18">
        <f t="shared" si="14"/>
        <v>-988.34241438355821</v>
      </c>
      <c r="L50" s="18">
        <f t="shared" si="14"/>
        <v>-1390.2694690068492</v>
      </c>
      <c r="M50" s="18">
        <f t="shared" si="14"/>
        <v>-1381.3320224203744</v>
      </c>
      <c r="N50" s="18">
        <f t="shared" si="14"/>
        <v>-1357.9556343486474</v>
      </c>
      <c r="O50" s="18">
        <f t="shared" si="14"/>
        <v>-1319.4802247087719</v>
      </c>
    </row>
    <row r="51" spans="2:15" ht="15" customHeight="1" outlineLevel="1" x14ac:dyDescent="0.4">
      <c r="B51" s="17" t="s">
        <v>248</v>
      </c>
      <c r="F51" s="18">
        <f t="shared" ref="F51:O51" si="15">(F95-E95)</f>
        <v>1348.42</v>
      </c>
      <c r="G51" s="18">
        <f t="shared" si="15"/>
        <v>1878.6499999999996</v>
      </c>
      <c r="H51" s="18">
        <f t="shared" si="15"/>
        <v>-1586.1900000000005</v>
      </c>
      <c r="I51" s="18">
        <f t="shared" si="15"/>
        <v>235.55000000000109</v>
      </c>
      <c r="J51" s="18">
        <f t="shared" si="15"/>
        <v>624.5</v>
      </c>
      <c r="K51" s="18">
        <f t="shared" si="15"/>
        <v>1754.7093549999954</v>
      </c>
      <c r="L51" s="18">
        <f t="shared" si="15"/>
        <v>1217.8760548500031</v>
      </c>
      <c r="M51" s="18">
        <f t="shared" si="15"/>
        <v>1210.046851640247</v>
      </c>
      <c r="N51" s="18">
        <f t="shared" si="15"/>
        <v>1189.5691356894167</v>
      </c>
      <c r="O51" s="18">
        <f t="shared" si="15"/>
        <v>1155.8646768448853</v>
      </c>
    </row>
    <row r="52" spans="2:15" ht="15" customHeight="1" outlineLevel="1" x14ac:dyDescent="0.4">
      <c r="B52" s="15" t="s">
        <v>249</v>
      </c>
      <c r="F52" s="41">
        <f t="shared" ref="F52:O52" si="16">SUM(F46:F51)</f>
        <v>16784.77</v>
      </c>
      <c r="G52" s="41">
        <f t="shared" si="16"/>
        <v>21045.919999999998</v>
      </c>
      <c r="H52" s="41">
        <f t="shared" si="16"/>
        <v>16713.55999999999</v>
      </c>
      <c r="I52" s="41">
        <f t="shared" si="16"/>
        <v>20072.090000000004</v>
      </c>
      <c r="J52" s="41">
        <f t="shared" si="16"/>
        <v>21715.750000000007</v>
      </c>
      <c r="K52" s="41">
        <f t="shared" si="16"/>
        <v>23839.923773616349</v>
      </c>
      <c r="L52" s="41">
        <f t="shared" si="16"/>
        <v>26267.962006900292</v>
      </c>
      <c r="M52" s="41">
        <f t="shared" si="16"/>
        <v>28693.482685192143</v>
      </c>
      <c r="N52" s="41">
        <f t="shared" si="16"/>
        <v>31043.567755324082</v>
      </c>
      <c r="O52" s="41">
        <f t="shared" si="16"/>
        <v>33360.84275872435</v>
      </c>
    </row>
    <row r="53" spans="2:15" ht="15" customHeight="1" outlineLevel="1" x14ac:dyDescent="0.35"/>
    <row r="54" spans="2:15" ht="15" customHeight="1" outlineLevel="1" x14ac:dyDescent="0.35"/>
    <row r="55" spans="2:15" ht="15" customHeight="1" outlineLevel="1" x14ac:dyDescent="0.4">
      <c r="B55" s="15" t="s">
        <v>250</v>
      </c>
    </row>
    <row r="56" spans="2:15" ht="15" customHeight="1" outlineLevel="1" x14ac:dyDescent="0.4">
      <c r="B56" s="17" t="s">
        <v>251</v>
      </c>
      <c r="F56" s="18">
        <f t="shared" ref="F56:O56" si="17">-F203</f>
        <v>-1879.7700000000007</v>
      </c>
      <c r="G56" s="18">
        <f t="shared" si="17"/>
        <v>-3206.4499999999989</v>
      </c>
      <c r="H56" s="18">
        <f t="shared" si="17"/>
        <v>122.99999999999932</v>
      </c>
      <c r="I56" s="18">
        <f t="shared" si="17"/>
        <v>6146.4200000000019</v>
      </c>
      <c r="J56" s="18">
        <f t="shared" si="17"/>
        <v>-2144.7400000000025</v>
      </c>
      <c r="K56" s="18">
        <f t="shared" si="17"/>
        <v>-3189.6753817499998</v>
      </c>
      <c r="L56" s="18">
        <f t="shared" si="17"/>
        <v>-3412.9526584724999</v>
      </c>
      <c r="M56" s="18">
        <f t="shared" si="17"/>
        <v>-3634.7945812732123</v>
      </c>
      <c r="N56" s="18">
        <f t="shared" si="17"/>
        <v>-3852.8822561496049</v>
      </c>
      <c r="O56" s="18">
        <f t="shared" si="17"/>
        <v>-4064.790780237834</v>
      </c>
    </row>
    <row r="57" spans="2:15" ht="15" customHeight="1" outlineLevel="1" x14ac:dyDescent="0.4">
      <c r="B57" s="15" t="s">
        <v>249</v>
      </c>
      <c r="F57" s="41">
        <f>F56</f>
        <v>-1879.7700000000007</v>
      </c>
      <c r="G57" s="41">
        <f>G56</f>
        <v>-3206.4499999999989</v>
      </c>
      <c r="H57" s="41">
        <f>H56</f>
        <v>122.99999999999932</v>
      </c>
      <c r="I57" s="41">
        <f>I56</f>
        <v>6146.4200000000019</v>
      </c>
      <c r="J57" s="41">
        <f>J56</f>
        <v>-2144.7400000000025</v>
      </c>
      <c r="K57" s="41">
        <f>K56-(K88-J88)</f>
        <v>-6049.3076317499945</v>
      </c>
      <c r="L57" s="41">
        <f>L56-(L88-K88)</f>
        <v>-6282.1170159724979</v>
      </c>
      <c r="M57" s="41">
        <f>M56-(M88-L88)</f>
        <v>-6485.5143107607128</v>
      </c>
      <c r="N57" s="41">
        <f>N56-(N88-M88)</f>
        <v>-6655.3590363688563</v>
      </c>
      <c r="O57" s="41">
        <f>O56-(O88-N88)</f>
        <v>-6787.8640516842079</v>
      </c>
    </row>
    <row r="58" spans="2:15" ht="15" customHeight="1" outlineLevel="1" x14ac:dyDescent="0.35"/>
    <row r="59" spans="2:15" ht="15" customHeight="1" outlineLevel="1" x14ac:dyDescent="0.35"/>
    <row r="60" spans="2:15" ht="15" customHeight="1" outlineLevel="1" x14ac:dyDescent="0.4">
      <c r="B60" s="15" t="s">
        <v>252</v>
      </c>
    </row>
    <row r="61" spans="2:15" ht="15" customHeight="1" outlineLevel="1" x14ac:dyDescent="0.4">
      <c r="B61" s="17" t="s">
        <v>253</v>
      </c>
      <c r="F61" s="18">
        <f t="shared" ref="F61:O61" si="18">(F100-E100)</f>
        <v>249.44</v>
      </c>
      <c r="G61" s="18">
        <f t="shared" si="18"/>
        <v>56.600000000000023</v>
      </c>
      <c r="H61" s="18">
        <f t="shared" si="18"/>
        <v>-294.76000000000005</v>
      </c>
      <c r="I61" s="18">
        <f t="shared" si="18"/>
        <v>79.98</v>
      </c>
      <c r="J61" s="18">
        <f t="shared" si="18"/>
        <v>2094.9599999999996</v>
      </c>
      <c r="K61" s="18">
        <f t="shared" si="18"/>
        <v>0</v>
      </c>
      <c r="L61" s="18">
        <f t="shared" si="18"/>
        <v>0</v>
      </c>
      <c r="M61" s="18">
        <f t="shared" si="18"/>
        <v>0</v>
      </c>
      <c r="N61" s="18">
        <f t="shared" si="18"/>
        <v>0</v>
      </c>
      <c r="O61" s="18">
        <f t="shared" si="18"/>
        <v>0</v>
      </c>
    </row>
    <row r="62" spans="2:15" ht="15" customHeight="1" outlineLevel="1" x14ac:dyDescent="0.4">
      <c r="B62" s="17" t="s">
        <v>254</v>
      </c>
      <c r="F62" s="18">
        <v>0</v>
      </c>
      <c r="G62" s="18">
        <v>0</v>
      </c>
      <c r="H62" s="18">
        <v>0</v>
      </c>
      <c r="I62" s="18">
        <v>0</v>
      </c>
      <c r="J62" s="18">
        <v>0</v>
      </c>
      <c r="K62" s="18">
        <f>K281</f>
        <v>978.56573448847121</v>
      </c>
      <c r="L62" s="18">
        <f>L281</f>
        <v>1684.6004349432478</v>
      </c>
      <c r="M62" s="18">
        <f>M281</f>
        <v>1429.5555127922453</v>
      </c>
      <c r="N62" s="18">
        <f>N281</f>
        <v>1129.8003150747863</v>
      </c>
      <c r="O62" s="18">
        <f>O281</f>
        <v>777.47688679567</v>
      </c>
    </row>
    <row r="63" spans="2:15" ht="15" customHeight="1" outlineLevel="1" x14ac:dyDescent="0.4">
      <c r="B63" s="17" t="s">
        <v>255</v>
      </c>
      <c r="F63" s="18">
        <v>0</v>
      </c>
      <c r="G63" s="18">
        <v>0</v>
      </c>
      <c r="H63" s="18">
        <v>0</v>
      </c>
      <c r="I63" s="18">
        <v>0</v>
      </c>
      <c r="J63" s="18">
        <v>0</v>
      </c>
      <c r="K63" s="18">
        <v>0</v>
      </c>
      <c r="L63" s="18">
        <v>0</v>
      </c>
      <c r="M63" s="18">
        <v>0</v>
      </c>
      <c r="N63" s="18">
        <v>0</v>
      </c>
      <c r="O63" s="18">
        <v>0</v>
      </c>
    </row>
    <row r="64" spans="2:15" ht="15" customHeight="1" outlineLevel="1" x14ac:dyDescent="0.4">
      <c r="B64" s="17" t="s">
        <v>256</v>
      </c>
      <c r="F64" s="39">
        <v>-14171.8</v>
      </c>
      <c r="G64" s="39">
        <v>-19263.400000000001</v>
      </c>
      <c r="H64" s="39">
        <v>-19606.060000000001</v>
      </c>
      <c r="I64" s="39">
        <v>-17496.650000000001</v>
      </c>
      <c r="J64" s="39">
        <v>-17967.580000000002</v>
      </c>
      <c r="K64" s="18">
        <f>-K35*Inputs!H45</f>
        <v>-19412.641876354824</v>
      </c>
      <c r="L64" s="18">
        <f>-L35*Inputs!I45</f>
        <v>-21670.445425871043</v>
      </c>
      <c r="M64" s="18">
        <f>-M35*Inputs!J45</f>
        <v>-23637.523887223677</v>
      </c>
      <c r="N64" s="18">
        <f>-N35*Inputs!K45</f>
        <v>-25518.009034030012</v>
      </c>
      <c r="O64" s="18">
        <f>-O35*Inputs!L45</f>
        <v>-27350.455593835813</v>
      </c>
    </row>
    <row r="65" spans="1:16" ht="15" customHeight="1" outlineLevel="1" x14ac:dyDescent="0.4">
      <c r="B65" s="15" t="s">
        <v>249</v>
      </c>
      <c r="F65" s="41">
        <f t="shared" ref="F65:O65" si="19">SUM(F61:F64)</f>
        <v>-13922.359999999999</v>
      </c>
      <c r="G65" s="41">
        <f t="shared" si="19"/>
        <v>-19206.800000000003</v>
      </c>
      <c r="H65" s="41">
        <f t="shared" si="19"/>
        <v>-19900.82</v>
      </c>
      <c r="I65" s="41">
        <f t="shared" si="19"/>
        <v>-17416.670000000002</v>
      </c>
      <c r="J65" s="41">
        <f t="shared" si="19"/>
        <v>-15872.620000000003</v>
      </c>
      <c r="K65" s="41">
        <f t="shared" si="19"/>
        <v>-18434.076141866353</v>
      </c>
      <c r="L65" s="41">
        <f t="shared" si="19"/>
        <v>-19985.844990927795</v>
      </c>
      <c r="M65" s="41">
        <f t="shared" si="19"/>
        <v>-22207.968374431432</v>
      </c>
      <c r="N65" s="41">
        <f t="shared" si="19"/>
        <v>-24388.208718955226</v>
      </c>
      <c r="O65" s="41">
        <f t="shared" si="19"/>
        <v>-26572.978707040143</v>
      </c>
    </row>
    <row r="66" spans="1:16" ht="15" customHeight="1" outlineLevel="1" x14ac:dyDescent="0.35"/>
    <row r="67" spans="1:16" ht="15" customHeight="1" outlineLevel="1" x14ac:dyDescent="0.35"/>
    <row r="68" spans="1:16" ht="15" customHeight="1" outlineLevel="1" x14ac:dyDescent="0.4">
      <c r="B68" s="15" t="s">
        <v>257</v>
      </c>
    </row>
    <row r="69" spans="1:16" ht="15" customHeight="1" outlineLevel="1" x14ac:dyDescent="0.4">
      <c r="B69" s="17" t="s">
        <v>258</v>
      </c>
      <c r="F69" s="39">
        <v>4659.0200000000004</v>
      </c>
      <c r="G69" s="18">
        <f>F82</f>
        <v>4654.42</v>
      </c>
      <c r="H69" s="18">
        <f>G82</f>
        <v>4880.1899999999996</v>
      </c>
      <c r="I69" s="18">
        <f>H82</f>
        <v>625.89</v>
      </c>
      <c r="J69" s="18">
        <f>I82</f>
        <v>620</v>
      </c>
      <c r="K69" s="18">
        <f>J82</f>
        <v>643.46</v>
      </c>
      <c r="L69" s="18">
        <f>K71</f>
        <v>9.0949470177292824E-13</v>
      </c>
      <c r="M69" s="18">
        <f>L71</f>
        <v>9.0949470177292824E-13</v>
      </c>
      <c r="N69" s="18">
        <f>M71</f>
        <v>9.0949470177292824E-13</v>
      </c>
      <c r="O69" s="18">
        <f>N71</f>
        <v>9.0949470177292824E-13</v>
      </c>
    </row>
    <row r="70" spans="1:16" ht="15" customHeight="1" outlineLevel="1" x14ac:dyDescent="0.4">
      <c r="B70" s="17" t="s">
        <v>259</v>
      </c>
      <c r="F70" s="18">
        <f t="shared" ref="F70:O70" si="20">F52+F57+F65</f>
        <v>982.64000000000124</v>
      </c>
      <c r="G70" s="18">
        <f t="shared" si="20"/>
        <v>-1367.3300000000017</v>
      </c>
      <c r="H70" s="18">
        <f t="shared" si="20"/>
        <v>-3064.2600000000093</v>
      </c>
      <c r="I70" s="18">
        <f t="shared" si="20"/>
        <v>8801.8400000000038</v>
      </c>
      <c r="J70" s="18">
        <f t="shared" si="20"/>
        <v>3698.3900000000031</v>
      </c>
      <c r="K70" s="18">
        <f t="shared" si="20"/>
        <v>-643.45999999999913</v>
      </c>
      <c r="L70" s="18">
        <f t="shared" si="20"/>
        <v>0</v>
      </c>
      <c r="M70" s="18">
        <f t="shared" si="20"/>
        <v>0</v>
      </c>
      <c r="N70" s="18">
        <f t="shared" si="20"/>
        <v>0</v>
      </c>
      <c r="O70" s="18">
        <f t="shared" si="20"/>
        <v>0</v>
      </c>
    </row>
    <row r="71" spans="1:16" ht="15" customHeight="1" outlineLevel="1" x14ac:dyDescent="0.4">
      <c r="B71" s="15" t="s">
        <v>260</v>
      </c>
      <c r="F71" s="43">
        <f>F82</f>
        <v>4654.42</v>
      </c>
      <c r="G71" s="43">
        <f>G82</f>
        <v>4880.1899999999996</v>
      </c>
      <c r="H71" s="43">
        <f>H82</f>
        <v>625.89</v>
      </c>
      <c r="I71" s="43">
        <f>I82</f>
        <v>620</v>
      </c>
      <c r="J71" s="43">
        <f>J82</f>
        <v>643.46</v>
      </c>
      <c r="K71" s="42">
        <f>K69+K70</f>
        <v>9.0949470177292824E-13</v>
      </c>
      <c r="L71" s="42">
        <f>L69+L70</f>
        <v>9.0949470177292824E-13</v>
      </c>
      <c r="M71" s="42">
        <f>M69+M70</f>
        <v>9.0949470177292824E-13</v>
      </c>
      <c r="N71" s="42">
        <f>N69+N70</f>
        <v>9.0949470177292824E-13</v>
      </c>
      <c r="O71" s="42">
        <f>O69+O70</f>
        <v>9.0949470177292824E-13</v>
      </c>
    </row>
    <row r="72" spans="1:16" ht="15" customHeight="1" outlineLevel="1" x14ac:dyDescent="0.35"/>
    <row r="73" spans="1:16" ht="15" customHeight="1" outlineLevel="1" x14ac:dyDescent="0.35"/>
    <row r="74" spans="1:16" ht="15" customHeight="1" outlineLevel="1" x14ac:dyDescent="0.35"/>
    <row r="75" spans="1:16" ht="21.75" customHeight="1" x14ac:dyDescent="0.35">
      <c r="A75" s="38">
        <v>2</v>
      </c>
      <c r="B75" s="174" t="s">
        <v>261</v>
      </c>
      <c r="C75" s="174"/>
      <c r="D75" s="174"/>
      <c r="E75" s="174"/>
      <c r="F75" s="174"/>
      <c r="G75" s="174"/>
      <c r="H75" s="174"/>
      <c r="I75" s="174"/>
      <c r="J75" s="174"/>
      <c r="K75" s="174"/>
      <c r="L75" s="174"/>
      <c r="M75" s="174"/>
      <c r="N75" s="174"/>
      <c r="O75" s="174"/>
      <c r="P75" s="174"/>
    </row>
    <row r="76" spans="1:16" ht="15" customHeight="1" outlineLevel="1" x14ac:dyDescent="0.35"/>
    <row r="77" spans="1:16" ht="15" customHeight="1" outlineLevel="1" x14ac:dyDescent="0.4">
      <c r="B77" s="13" t="s">
        <v>124</v>
      </c>
      <c r="F77" s="14" t="s">
        <v>229</v>
      </c>
      <c r="G77" s="14" t="s">
        <v>230</v>
      </c>
      <c r="H77" s="14" t="s">
        <v>231</v>
      </c>
      <c r="I77" s="14" t="s">
        <v>232</v>
      </c>
      <c r="J77" s="14" t="s">
        <v>233</v>
      </c>
      <c r="K77" s="14" t="s">
        <v>130</v>
      </c>
      <c r="L77" s="14" t="s">
        <v>131</v>
      </c>
      <c r="M77" s="14" t="s">
        <v>132</v>
      </c>
      <c r="N77" s="14" t="s">
        <v>133</v>
      </c>
      <c r="O77" s="14" t="s">
        <v>134</v>
      </c>
    </row>
    <row r="78" spans="1:16" ht="15" customHeight="1" outlineLevel="1" x14ac:dyDescent="0.35">
      <c r="B78" s="16" t="str">
        <f>CONCATENATE("Model Running: ",INDEX(Inputs!$B$12:$B$14,Inputs!$H$7)," Drivers")</f>
        <v>Model Running: Base Case Drivers</v>
      </c>
    </row>
    <row r="79" spans="1:16" ht="15" customHeight="1" outlineLevel="1" x14ac:dyDescent="0.35"/>
    <row r="80" spans="1:16" ht="15" customHeight="1" outlineLevel="1" x14ac:dyDescent="0.4">
      <c r="B80" s="15" t="s">
        <v>262</v>
      </c>
    </row>
    <row r="81" spans="2:15" ht="15" customHeight="1" outlineLevel="1" x14ac:dyDescent="0.35"/>
    <row r="82" spans="2:15" ht="15" customHeight="1" outlineLevel="1" x14ac:dyDescent="0.4">
      <c r="B82" s="17" t="s">
        <v>45</v>
      </c>
      <c r="F82" s="39">
        <v>4654.42</v>
      </c>
      <c r="G82" s="39">
        <v>4880.1899999999996</v>
      </c>
      <c r="H82" s="39">
        <v>625.89</v>
      </c>
      <c r="I82" s="39">
        <v>620</v>
      </c>
      <c r="J82" s="39">
        <v>643.46</v>
      </c>
      <c r="K82" s="18">
        <f>K71</f>
        <v>9.0949470177292824E-13</v>
      </c>
      <c r="L82" s="18">
        <f>L71</f>
        <v>9.0949470177292824E-13</v>
      </c>
      <c r="M82" s="18">
        <f>M71</f>
        <v>9.0949470177292824E-13</v>
      </c>
      <c r="N82" s="18">
        <f>N71</f>
        <v>9.0949470177292824E-13</v>
      </c>
      <c r="O82" s="18">
        <f>O71</f>
        <v>9.0949470177292824E-13</v>
      </c>
    </row>
    <row r="83" spans="2:15" ht="15" customHeight="1" outlineLevel="1" x14ac:dyDescent="0.4">
      <c r="B83" s="17" t="s">
        <v>179</v>
      </c>
      <c r="E83" s="39">
        <v>2501.6999999999998</v>
      </c>
      <c r="F83" s="39">
        <v>2461.9</v>
      </c>
      <c r="G83" s="39">
        <v>2956.17</v>
      </c>
      <c r="H83" s="39">
        <v>4025.82</v>
      </c>
      <c r="I83" s="39">
        <v>4719.67</v>
      </c>
      <c r="J83" s="39">
        <v>3922.86</v>
      </c>
      <c r="K83" s="18">
        <f>K182</f>
        <v>4899.0447955479449</v>
      </c>
      <c r="L83" s="18">
        <f>L182</f>
        <v>5241.9779312363007</v>
      </c>
      <c r="M83" s="18">
        <f>M182</f>
        <v>5582.7064967666602</v>
      </c>
      <c r="N83" s="18">
        <f>N182</f>
        <v>5917.6688865726592</v>
      </c>
      <c r="O83" s="18">
        <f>O182</f>
        <v>6243.1406753341571</v>
      </c>
    </row>
    <row r="84" spans="2:15" ht="15" customHeight="1" outlineLevel="1" x14ac:dyDescent="0.4">
      <c r="B84" s="17" t="s">
        <v>263</v>
      </c>
      <c r="E84" s="39">
        <v>10397.16</v>
      </c>
      <c r="F84" s="39">
        <v>10864.15</v>
      </c>
      <c r="G84" s="39">
        <v>11771.16</v>
      </c>
      <c r="H84" s="39">
        <v>14302.88</v>
      </c>
      <c r="I84" s="39">
        <v>15836.14</v>
      </c>
      <c r="J84" s="39">
        <v>18872.650000000001</v>
      </c>
      <c r="K84" s="18">
        <f>K185</f>
        <v>19860.99241438356</v>
      </c>
      <c r="L84" s="18">
        <f>L185</f>
        <v>21251.261883390409</v>
      </c>
      <c r="M84" s="18">
        <f>M185</f>
        <v>22632.593905810783</v>
      </c>
      <c r="N84" s="18">
        <f>N185</f>
        <v>23990.549540159431</v>
      </c>
      <c r="O84" s="18">
        <f>O185</f>
        <v>25310.029764868203</v>
      </c>
    </row>
    <row r="85" spans="2:15" ht="15" customHeight="1" outlineLevel="1" x14ac:dyDescent="0.4">
      <c r="B85" s="15" t="s">
        <v>264</v>
      </c>
      <c r="F85" s="41">
        <f t="shared" ref="F85:O85" si="21">SUM(F82:F84)</f>
        <v>17980.47</v>
      </c>
      <c r="G85" s="41">
        <f t="shared" si="21"/>
        <v>19607.52</v>
      </c>
      <c r="H85" s="41">
        <f t="shared" si="21"/>
        <v>18954.59</v>
      </c>
      <c r="I85" s="41">
        <f t="shared" si="21"/>
        <v>21175.809999999998</v>
      </c>
      <c r="J85" s="41">
        <f t="shared" si="21"/>
        <v>23438.97</v>
      </c>
      <c r="K85" s="41">
        <f t="shared" si="21"/>
        <v>24760.037209931506</v>
      </c>
      <c r="L85" s="41">
        <f t="shared" si="21"/>
        <v>26493.239814626711</v>
      </c>
      <c r="M85" s="41">
        <f t="shared" si="21"/>
        <v>28215.300402577443</v>
      </c>
      <c r="N85" s="41">
        <f t="shared" si="21"/>
        <v>29908.218426732092</v>
      </c>
      <c r="O85" s="41">
        <f t="shared" si="21"/>
        <v>31553.170440202361</v>
      </c>
    </row>
    <row r="86" spans="2:15" ht="15" customHeight="1" outlineLevel="1" x14ac:dyDescent="0.35"/>
    <row r="87" spans="2:15" ht="15" customHeight="1" outlineLevel="1" x14ac:dyDescent="0.4">
      <c r="B87" s="17" t="s">
        <v>265</v>
      </c>
      <c r="F87" s="39">
        <v>27457.13</v>
      </c>
      <c r="G87" s="39">
        <v>28854.57</v>
      </c>
      <c r="H87" s="39">
        <v>27213.52</v>
      </c>
      <c r="I87" s="39">
        <v>19420.78</v>
      </c>
      <c r="J87" s="39">
        <v>19854.990000000002</v>
      </c>
      <c r="K87" s="18">
        <f>K205</f>
        <v>21467.602869025002</v>
      </c>
      <c r="L87" s="18">
        <f>L205</f>
        <v>23083.405413431752</v>
      </c>
      <c r="M87" s="18">
        <f>M205</f>
        <v>24686.124972647689</v>
      </c>
      <c r="N87" s="18">
        <f>N205</f>
        <v>26257.342978825927</v>
      </c>
      <c r="O87" s="18">
        <f>O205</f>
        <v>27776.547074546146</v>
      </c>
    </row>
    <row r="88" spans="2:15" ht="15" customHeight="1" outlineLevel="1" x14ac:dyDescent="0.4">
      <c r="B88" s="17" t="s">
        <v>266</v>
      </c>
      <c r="F88" s="39">
        <v>24841.01</v>
      </c>
      <c r="G88" s="39">
        <v>29415.02</v>
      </c>
      <c r="H88" s="39">
        <v>31114.02</v>
      </c>
      <c r="I88" s="39">
        <v>34719.82</v>
      </c>
      <c r="J88" s="39">
        <v>38128.43</v>
      </c>
      <c r="K88" s="18">
        <f>K11*($J$88/$J$11)</f>
        <v>40988.062249999995</v>
      </c>
      <c r="L88" s="18">
        <f>L11*($J$88/$J$11)</f>
        <v>43857.226607499993</v>
      </c>
      <c r="M88" s="18">
        <f>M11*($J$88/$J$11)</f>
        <v>46707.946336987494</v>
      </c>
      <c r="N88" s="18">
        <f>N11*($J$88/$J$11)</f>
        <v>49510.423117206745</v>
      </c>
      <c r="O88" s="18">
        <f>O11*($J$88/$J$11)</f>
        <v>52233.496388653119</v>
      </c>
    </row>
    <row r="89" spans="2:15" ht="15" customHeight="1" outlineLevel="1" x14ac:dyDescent="0.4">
      <c r="B89" s="17" t="s">
        <v>267</v>
      </c>
      <c r="F89" s="39">
        <v>6917.41</v>
      </c>
      <c r="G89" s="39">
        <v>7953.85</v>
      </c>
      <c r="H89" s="39">
        <v>14544.03</v>
      </c>
      <c r="I89" s="39">
        <v>12774.27</v>
      </c>
      <c r="J89" s="39">
        <v>12369.99</v>
      </c>
      <c r="K89" s="18">
        <f>$J$89</f>
        <v>12369.99</v>
      </c>
      <c r="L89" s="18">
        <f>$J$89</f>
        <v>12369.99</v>
      </c>
      <c r="M89" s="18">
        <f>$J$89</f>
        <v>12369.99</v>
      </c>
      <c r="N89" s="18">
        <f>$J$89</f>
        <v>12369.99</v>
      </c>
      <c r="O89" s="18">
        <f>$J$89</f>
        <v>12369.99</v>
      </c>
    </row>
    <row r="90" spans="2:15" ht="15" customHeight="1" outlineLevel="1" x14ac:dyDescent="0.4">
      <c r="B90" s="15" t="s">
        <v>268</v>
      </c>
      <c r="F90" s="42">
        <f t="shared" ref="F90:O90" si="22">F85+F87+F88+F89</f>
        <v>77196.02</v>
      </c>
      <c r="G90" s="42">
        <f t="shared" si="22"/>
        <v>85830.96</v>
      </c>
      <c r="H90" s="42">
        <f t="shared" si="22"/>
        <v>91826.16</v>
      </c>
      <c r="I90" s="42">
        <f t="shared" si="22"/>
        <v>88090.680000000008</v>
      </c>
      <c r="J90" s="42">
        <f t="shared" si="22"/>
        <v>93792.380000000019</v>
      </c>
      <c r="K90" s="42">
        <f t="shared" si="22"/>
        <v>99585.692328956517</v>
      </c>
      <c r="L90" s="42">
        <f t="shared" si="22"/>
        <v>105803.86183555846</v>
      </c>
      <c r="M90" s="42">
        <f t="shared" si="22"/>
        <v>111979.36171221263</v>
      </c>
      <c r="N90" s="42">
        <f t="shared" si="22"/>
        <v>118045.97452276478</v>
      </c>
      <c r="O90" s="42">
        <f t="shared" si="22"/>
        <v>123933.20390340163</v>
      </c>
    </row>
    <row r="91" spans="2:15" ht="15" customHeight="1" outlineLevel="1" x14ac:dyDescent="0.35"/>
    <row r="92" spans="2:15" ht="15" customHeight="1" outlineLevel="1" x14ac:dyDescent="0.35"/>
    <row r="93" spans="2:15" ht="15" customHeight="1" outlineLevel="1" x14ac:dyDescent="0.4">
      <c r="B93" s="15" t="s">
        <v>269</v>
      </c>
    </row>
    <row r="94" spans="2:15" ht="15" customHeight="1" outlineLevel="1" x14ac:dyDescent="0.35"/>
    <row r="95" spans="2:15" ht="15" customHeight="1" outlineLevel="1" x14ac:dyDescent="0.4">
      <c r="B95" s="17" t="s">
        <v>182</v>
      </c>
      <c r="E95" s="39">
        <v>13142.59</v>
      </c>
      <c r="F95" s="39">
        <v>14491.01</v>
      </c>
      <c r="G95" s="39">
        <v>16369.66</v>
      </c>
      <c r="H95" s="39">
        <v>14783.47</v>
      </c>
      <c r="I95" s="39">
        <v>15019.02</v>
      </c>
      <c r="J95" s="39">
        <v>15643.52</v>
      </c>
      <c r="K95" s="18">
        <f>K189</f>
        <v>17398.229354999996</v>
      </c>
      <c r="L95" s="18">
        <f>L189</f>
        <v>18616.105409849999</v>
      </c>
      <c r="M95" s="18">
        <f>M189</f>
        <v>19826.152261490246</v>
      </c>
      <c r="N95" s="18">
        <f>N189</f>
        <v>21015.721397179663</v>
      </c>
      <c r="O95" s="18">
        <f>O189</f>
        <v>22171.586074024548</v>
      </c>
    </row>
    <row r="96" spans="2:15" ht="15" customHeight="1" outlineLevel="1" x14ac:dyDescent="0.4">
      <c r="B96" s="17" t="s">
        <v>270</v>
      </c>
      <c r="F96" s="18">
        <v>0</v>
      </c>
      <c r="G96" s="18">
        <v>0</v>
      </c>
      <c r="H96" s="18">
        <v>0</v>
      </c>
      <c r="I96" s="18">
        <v>0</v>
      </c>
      <c r="J96" s="18">
        <v>0</v>
      </c>
      <c r="K96" s="18">
        <f>K282</f>
        <v>978.56573448847121</v>
      </c>
      <c r="L96" s="18">
        <f>L282</f>
        <v>2663.166169431719</v>
      </c>
      <c r="M96" s="18">
        <f>M282</f>
        <v>4092.7216822239643</v>
      </c>
      <c r="N96" s="18">
        <f>N282</f>
        <v>5222.5219972987506</v>
      </c>
      <c r="O96" s="18">
        <f>O282</f>
        <v>5999.9988840944206</v>
      </c>
    </row>
    <row r="97" spans="2:15" ht="15" customHeight="1" outlineLevel="1" x14ac:dyDescent="0.4">
      <c r="B97" s="15" t="s">
        <v>271</v>
      </c>
      <c r="F97" s="41">
        <f t="shared" ref="F97:O97" si="23">F95+F96</f>
        <v>14491.01</v>
      </c>
      <c r="G97" s="41">
        <f t="shared" si="23"/>
        <v>16369.66</v>
      </c>
      <c r="H97" s="41">
        <f t="shared" si="23"/>
        <v>14783.47</v>
      </c>
      <c r="I97" s="41">
        <f t="shared" si="23"/>
        <v>15019.02</v>
      </c>
      <c r="J97" s="41">
        <f t="shared" si="23"/>
        <v>15643.52</v>
      </c>
      <c r="K97" s="41">
        <f t="shared" si="23"/>
        <v>18376.795089488467</v>
      </c>
      <c r="L97" s="41">
        <f t="shared" si="23"/>
        <v>21279.271579281718</v>
      </c>
      <c r="M97" s="41">
        <f t="shared" si="23"/>
        <v>23918.87394371421</v>
      </c>
      <c r="N97" s="41">
        <f t="shared" si="23"/>
        <v>26238.243394478413</v>
      </c>
      <c r="O97" s="41">
        <f t="shared" si="23"/>
        <v>28171.584958118969</v>
      </c>
    </row>
    <row r="98" spans="2:15" ht="15" customHeight="1" outlineLevel="1" x14ac:dyDescent="0.35"/>
    <row r="99" spans="2:15" ht="15" customHeight="1" outlineLevel="1" x14ac:dyDescent="0.4">
      <c r="B99" s="17" t="s">
        <v>245</v>
      </c>
      <c r="F99" s="18">
        <v>0</v>
      </c>
      <c r="G99" s="18">
        <v>0</v>
      </c>
      <c r="H99" s="18">
        <v>2141.44</v>
      </c>
      <c r="I99" s="18">
        <v>2582.46</v>
      </c>
      <c r="J99" s="18">
        <v>3089.62</v>
      </c>
      <c r="K99" s="18">
        <f>J99+K368</f>
        <v>3502.4788017832852</v>
      </c>
      <c r="L99" s="18">
        <f>K99+L368</f>
        <v>3863.1110787004836</v>
      </c>
      <c r="M99" s="18">
        <f>L99+M368</f>
        <v>4175.7098790280252</v>
      </c>
      <c r="N99" s="18">
        <f>M99+N368</f>
        <v>4443.2247341755028</v>
      </c>
      <c r="O99" s="18">
        <f>N99+O368</f>
        <v>4667.5049701941898</v>
      </c>
    </row>
    <row r="100" spans="2:15" ht="15" customHeight="1" outlineLevel="1" x14ac:dyDescent="0.4">
      <c r="B100" s="17" t="s">
        <v>272</v>
      </c>
      <c r="F100" s="39">
        <v>249.44</v>
      </c>
      <c r="G100" s="39">
        <v>306.04000000000002</v>
      </c>
      <c r="H100" s="39">
        <v>11.28</v>
      </c>
      <c r="I100" s="39">
        <v>91.26</v>
      </c>
      <c r="J100" s="39">
        <v>2186.2199999999998</v>
      </c>
      <c r="K100" s="18">
        <f>K254</f>
        <v>2186.2199999999998</v>
      </c>
      <c r="L100" s="18">
        <f>L254</f>
        <v>2186.2199999999998</v>
      </c>
      <c r="M100" s="18">
        <f>M254</f>
        <v>2186.2199999999998</v>
      </c>
      <c r="N100" s="18">
        <f>N254</f>
        <v>2186.2199999999998</v>
      </c>
      <c r="O100" s="18">
        <f>O254</f>
        <v>2186.2199999999998</v>
      </c>
    </row>
    <row r="101" spans="2:15" ht="15" customHeight="1" outlineLevel="1" x14ac:dyDescent="0.4">
      <c r="B101" s="15" t="s">
        <v>273</v>
      </c>
      <c r="F101" s="41">
        <f t="shared" ref="F101:O101" si="24">F97+F99+F100</f>
        <v>14740.45</v>
      </c>
      <c r="G101" s="41">
        <f t="shared" si="24"/>
        <v>16675.7</v>
      </c>
      <c r="H101" s="41">
        <f t="shared" si="24"/>
        <v>16936.189999999999</v>
      </c>
      <c r="I101" s="41">
        <f t="shared" si="24"/>
        <v>17692.739999999998</v>
      </c>
      <c r="J101" s="41">
        <f t="shared" si="24"/>
        <v>20919.36</v>
      </c>
      <c r="K101" s="41">
        <f t="shared" si="24"/>
        <v>24065.493891271755</v>
      </c>
      <c r="L101" s="41">
        <f t="shared" si="24"/>
        <v>27328.602657982203</v>
      </c>
      <c r="M101" s="41">
        <f t="shared" si="24"/>
        <v>30280.803822742237</v>
      </c>
      <c r="N101" s="41">
        <f t="shared" si="24"/>
        <v>32867.688128653914</v>
      </c>
      <c r="O101" s="41">
        <f t="shared" si="24"/>
        <v>35025.30992831316</v>
      </c>
    </row>
    <row r="102" spans="2:15" ht="15" customHeight="1" outlineLevel="1" x14ac:dyDescent="0.35"/>
    <row r="103" spans="2:15" ht="15" customHeight="1" outlineLevel="1" x14ac:dyDescent="0.35"/>
    <row r="104" spans="2:15" ht="15" customHeight="1" outlineLevel="1" x14ac:dyDescent="0.4">
      <c r="B104" s="15" t="s">
        <v>274</v>
      </c>
    </row>
    <row r="105" spans="2:15" ht="15" customHeight="1" outlineLevel="1" x14ac:dyDescent="0.35"/>
    <row r="106" spans="2:15" ht="15" customHeight="1" outlineLevel="1" x14ac:dyDescent="0.4">
      <c r="B106" s="17" t="s">
        <v>275</v>
      </c>
      <c r="F106" s="39">
        <v>1232.33</v>
      </c>
      <c r="G106" s="39">
        <v>1242.8</v>
      </c>
      <c r="H106" s="39">
        <v>1248.47</v>
      </c>
      <c r="I106" s="39">
        <v>1251.4100000000001</v>
      </c>
      <c r="J106" s="39">
        <v>1252.95</v>
      </c>
      <c r="K106" s="18">
        <f>K306</f>
        <v>1252.95</v>
      </c>
      <c r="L106" s="18">
        <f>L306</f>
        <v>1252.95</v>
      </c>
      <c r="M106" s="18">
        <f>M306</f>
        <v>1252.95</v>
      </c>
      <c r="N106" s="18">
        <f>N306</f>
        <v>1252.95</v>
      </c>
      <c r="O106" s="18">
        <f>O306</f>
        <v>1252.95</v>
      </c>
    </row>
    <row r="107" spans="2:15" ht="15" customHeight="1" outlineLevel="1" x14ac:dyDescent="0.4">
      <c r="B107" s="17" t="s">
        <v>276</v>
      </c>
      <c r="F107" s="39">
        <v>61223.24</v>
      </c>
      <c r="G107" s="39">
        <v>67912.460000000006</v>
      </c>
      <c r="H107" s="39">
        <v>73641.5</v>
      </c>
      <c r="I107" s="39">
        <v>69146.53</v>
      </c>
      <c r="J107" s="39">
        <v>71620.070000000007</v>
      </c>
      <c r="K107" s="18">
        <f>K313</f>
        <v>74267.248437684757</v>
      </c>
      <c r="L107" s="18">
        <f>L313</f>
        <v>77222.309177576259</v>
      </c>
      <c r="M107" s="18">
        <f>M313</f>
        <v>80445.607889470397</v>
      </c>
      <c r="N107" s="18">
        <f>N313</f>
        <v>83925.336394110855</v>
      </c>
      <c r="O107" s="18">
        <f>O313</f>
        <v>87654.943975088463</v>
      </c>
    </row>
    <row r="108" spans="2:15" ht="15" customHeight="1" outlineLevel="1" x14ac:dyDescent="0.4">
      <c r="B108" s="15" t="s">
        <v>277</v>
      </c>
      <c r="F108" s="41">
        <f t="shared" ref="F108:O108" si="25">F106+F107</f>
        <v>62455.57</v>
      </c>
      <c r="G108" s="41">
        <f t="shared" si="25"/>
        <v>69155.260000000009</v>
      </c>
      <c r="H108" s="41">
        <f t="shared" si="25"/>
        <v>74889.97</v>
      </c>
      <c r="I108" s="41">
        <f t="shared" si="25"/>
        <v>70397.94</v>
      </c>
      <c r="J108" s="41">
        <f t="shared" si="25"/>
        <v>72873.02</v>
      </c>
      <c r="K108" s="41">
        <f t="shared" si="25"/>
        <v>75520.198437684754</v>
      </c>
      <c r="L108" s="41">
        <f t="shared" si="25"/>
        <v>78475.259177576256</v>
      </c>
      <c r="M108" s="41">
        <f t="shared" si="25"/>
        <v>81698.557889470394</v>
      </c>
      <c r="N108" s="41">
        <f t="shared" si="25"/>
        <v>85178.286394110852</v>
      </c>
      <c r="O108" s="41">
        <f t="shared" si="25"/>
        <v>88907.89397508846</v>
      </c>
    </row>
    <row r="109" spans="2:15" ht="15" customHeight="1" outlineLevel="1" x14ac:dyDescent="0.35"/>
    <row r="110" spans="2:15" ht="15" customHeight="1" outlineLevel="1" x14ac:dyDescent="0.35"/>
    <row r="111" spans="2:15" ht="15" customHeight="1" outlineLevel="1" x14ac:dyDescent="0.4">
      <c r="B111" s="15" t="s">
        <v>278</v>
      </c>
      <c r="F111" s="42">
        <f t="shared" ref="F111:O111" si="26">F101+F108</f>
        <v>77196.02</v>
      </c>
      <c r="G111" s="42">
        <f t="shared" si="26"/>
        <v>85830.96</v>
      </c>
      <c r="H111" s="42">
        <f t="shared" si="26"/>
        <v>91826.16</v>
      </c>
      <c r="I111" s="42">
        <f t="shared" si="26"/>
        <v>88090.68</v>
      </c>
      <c r="J111" s="42">
        <f t="shared" si="26"/>
        <v>93792.38</v>
      </c>
      <c r="K111" s="42">
        <f t="shared" si="26"/>
        <v>99585.692328956502</v>
      </c>
      <c r="L111" s="42">
        <f t="shared" si="26"/>
        <v>105803.86183555846</v>
      </c>
      <c r="M111" s="42">
        <f t="shared" si="26"/>
        <v>111979.36171221263</v>
      </c>
      <c r="N111" s="42">
        <f t="shared" si="26"/>
        <v>118045.97452276477</v>
      </c>
      <c r="O111" s="42">
        <f t="shared" si="26"/>
        <v>123933.20390340162</v>
      </c>
    </row>
    <row r="112" spans="2:15" ht="15" customHeight="1" outlineLevel="1" x14ac:dyDescent="0.35"/>
    <row r="113" spans="1:16" ht="15" customHeight="1" outlineLevel="1" x14ac:dyDescent="0.35"/>
    <row r="114" spans="1:16" ht="15" customHeight="1" outlineLevel="1" x14ac:dyDescent="0.4">
      <c r="B114" s="17" t="s">
        <v>279</v>
      </c>
      <c r="F114" s="18">
        <f t="shared" ref="F114:O114" si="27">ROUND(F90-F111,0)</f>
        <v>0</v>
      </c>
      <c r="G114" s="18">
        <f t="shared" si="27"/>
        <v>0</v>
      </c>
      <c r="H114" s="18">
        <f t="shared" si="27"/>
        <v>0</v>
      </c>
      <c r="I114" s="18">
        <f t="shared" si="27"/>
        <v>0</v>
      </c>
      <c r="J114" s="18">
        <f t="shared" si="27"/>
        <v>0</v>
      </c>
      <c r="K114" s="18">
        <f t="shared" si="27"/>
        <v>0</v>
      </c>
      <c r="L114" s="18">
        <f t="shared" si="27"/>
        <v>0</v>
      </c>
      <c r="M114" s="18">
        <f t="shared" si="27"/>
        <v>0</v>
      </c>
      <c r="N114" s="18">
        <f t="shared" si="27"/>
        <v>0</v>
      </c>
      <c r="O114" s="18">
        <f t="shared" si="27"/>
        <v>0</v>
      </c>
    </row>
    <row r="115" spans="1:16" ht="15" customHeight="1" outlineLevel="1" x14ac:dyDescent="0.35"/>
    <row r="116" spans="1:16" ht="15" customHeight="1" outlineLevel="1" x14ac:dyDescent="0.35"/>
    <row r="117" spans="1:16" ht="15" customHeight="1" outlineLevel="1" x14ac:dyDescent="0.35"/>
    <row r="118" spans="1:16" ht="21.75" customHeight="1" x14ac:dyDescent="0.35">
      <c r="A118" s="38" t="s">
        <v>280</v>
      </c>
      <c r="B118" s="174" t="s">
        <v>281</v>
      </c>
      <c r="C118" s="174"/>
      <c r="D118" s="174"/>
      <c r="E118" s="174"/>
      <c r="F118" s="174"/>
      <c r="G118" s="174"/>
      <c r="H118" s="174"/>
      <c r="I118" s="174"/>
      <c r="J118" s="174"/>
      <c r="K118" s="174"/>
      <c r="L118" s="174"/>
      <c r="M118" s="174"/>
      <c r="N118" s="174"/>
      <c r="O118" s="174"/>
      <c r="P118" s="174"/>
    </row>
    <row r="119" spans="1:16" ht="15" customHeight="1" outlineLevel="1" x14ac:dyDescent="0.35"/>
    <row r="120" spans="1:16" ht="15" customHeight="1" outlineLevel="1" x14ac:dyDescent="0.35">
      <c r="B120" s="13" t="s">
        <v>124</v>
      </c>
      <c r="F120" s="44">
        <f t="shared" ref="F120:O120" si="28">F$5</f>
        <v>2022</v>
      </c>
      <c r="G120" s="44">
        <f t="shared" si="28"/>
        <v>2023</v>
      </c>
      <c r="H120" s="44">
        <f t="shared" si="28"/>
        <v>2024</v>
      </c>
      <c r="I120" s="44">
        <f t="shared" si="28"/>
        <v>2025</v>
      </c>
      <c r="J120" s="44">
        <f t="shared" si="28"/>
        <v>2026</v>
      </c>
      <c r="K120" s="44" t="str">
        <f t="shared" si="28"/>
        <v>2027E</v>
      </c>
      <c r="L120" s="44" t="str">
        <f t="shared" si="28"/>
        <v>2028E</v>
      </c>
      <c r="M120" s="44" t="str">
        <f t="shared" si="28"/>
        <v>2029E</v>
      </c>
      <c r="N120" s="44" t="str">
        <f t="shared" si="28"/>
        <v>2030E</v>
      </c>
      <c r="O120" s="44" t="str">
        <f t="shared" si="28"/>
        <v>2031E</v>
      </c>
    </row>
    <row r="121" spans="1:16" ht="15" customHeight="1" outlineLevel="1" x14ac:dyDescent="0.35">
      <c r="B121" s="16" t="str">
        <f>B$6</f>
        <v>Model Running: Base Case Drivers</v>
      </c>
    </row>
    <row r="122" spans="1:16" ht="15" customHeight="1" outlineLevel="1" x14ac:dyDescent="0.35"/>
    <row r="123" spans="1:16" ht="15" customHeight="1" outlineLevel="1" x14ac:dyDescent="0.35"/>
    <row r="124" spans="1:16" ht="15" customHeight="1" outlineLevel="1" x14ac:dyDescent="0.4">
      <c r="B124" s="15" t="s">
        <v>282</v>
      </c>
    </row>
    <row r="125" spans="1:16" ht="15" customHeight="1" outlineLevel="1" x14ac:dyDescent="0.35"/>
    <row r="126" spans="1:16" ht="15" customHeight="1" outlineLevel="1" x14ac:dyDescent="0.4">
      <c r="B126" s="17" t="s">
        <v>172</v>
      </c>
      <c r="G126" s="36">
        <f>G11/F11-1</f>
        <v>0.1694215175842706</v>
      </c>
      <c r="H126" s="36">
        <f>H11/G11-1</f>
        <v>4.1912586790879613E-2</v>
      </c>
      <c r="I126" s="36">
        <f>I11/H11-1</f>
        <v>0.10449587996875964</v>
      </c>
      <c r="J126" s="36">
        <f>J11/I11-1</f>
        <v>0.10170649743826887</v>
      </c>
      <c r="K126" s="36">
        <f>Inputs!H10</f>
        <v>7.4999999999999997E-2</v>
      </c>
      <c r="L126" s="36">
        <f>Inputs!I10</f>
        <v>7.0000000000000007E-2</v>
      </c>
      <c r="M126" s="36">
        <f>Inputs!J10</f>
        <v>6.5000000000000002E-2</v>
      </c>
      <c r="N126" s="36">
        <f>Inputs!K10</f>
        <v>0.06</v>
      </c>
      <c r="O126" s="36">
        <f>Inputs!L10</f>
        <v>5.5E-2</v>
      </c>
    </row>
    <row r="127" spans="1:16" ht="15" customHeight="1" outlineLevel="1" x14ac:dyDescent="0.35"/>
    <row r="128" spans="1:16" ht="15" customHeight="1" outlineLevel="1" x14ac:dyDescent="0.4">
      <c r="B128" s="15" t="s">
        <v>137</v>
      </c>
      <c r="F128" s="40">
        <f>F11</f>
        <v>60644.54</v>
      </c>
      <c r="G128" s="40">
        <f>G11</f>
        <v>70919.03</v>
      </c>
      <c r="H128" s="40">
        <f>H11</f>
        <v>73891.429999999993</v>
      </c>
      <c r="I128" s="40">
        <f>I11</f>
        <v>81612.78</v>
      </c>
      <c r="J128" s="40">
        <f>J11</f>
        <v>89913.33</v>
      </c>
      <c r="K128" s="40">
        <f>$J$11*(K134/100)*(K137/100)</f>
        <v>96656.82974999999</v>
      </c>
      <c r="L128" s="40">
        <f>$J$11*(L134/100)*(L137/100)</f>
        <v>103422.8078325</v>
      </c>
      <c r="M128" s="40">
        <f>$J$11*(M134/100)*(M137/100)</f>
        <v>110145.29034161249</v>
      </c>
      <c r="N128" s="40">
        <f>$J$11*(N134/100)*(N137/100)</f>
        <v>116754.00776210924</v>
      </c>
      <c r="O128" s="40">
        <f>$J$11*(O134/100)*(O137/100)</f>
        <v>123175.47818902526</v>
      </c>
    </row>
    <row r="129" spans="1:16" ht="15" customHeight="1" outlineLevel="1" x14ac:dyDescent="0.35"/>
    <row r="130" spans="1:16" ht="15" customHeight="1" outlineLevel="1" x14ac:dyDescent="0.35"/>
    <row r="131" spans="1:16" ht="15" customHeight="1" outlineLevel="1" x14ac:dyDescent="0.4">
      <c r="B131" s="15" t="s">
        <v>283</v>
      </c>
    </row>
    <row r="132" spans="1:16" ht="15" customHeight="1" outlineLevel="1" x14ac:dyDescent="0.35"/>
    <row r="133" spans="1:16" ht="15" customHeight="1" outlineLevel="1" x14ac:dyDescent="0.4">
      <c r="B133" s="17" t="s">
        <v>215</v>
      </c>
      <c r="F133" s="36"/>
      <c r="G133" s="36"/>
      <c r="H133" s="36"/>
      <c r="I133" s="36"/>
      <c r="J133" s="36"/>
      <c r="K133" s="36">
        <f>Inputs!H70</f>
        <v>4.4999999999999998E-2</v>
      </c>
      <c r="L133" s="36">
        <f>Inputs!I70</f>
        <v>4.2500000000000003E-2</v>
      </c>
      <c r="M133" s="36">
        <f>Inputs!J70</f>
        <v>0.04</v>
      </c>
      <c r="N133" s="36">
        <f>Inputs!K70</f>
        <v>3.7499999999999999E-2</v>
      </c>
      <c r="O133" s="36">
        <f>Inputs!L70</f>
        <v>3.5000000000000003E-2</v>
      </c>
    </row>
    <row r="134" spans="1:16" ht="15" customHeight="1" outlineLevel="1" x14ac:dyDescent="0.4">
      <c r="B134" s="17" t="s">
        <v>284</v>
      </c>
      <c r="J134" s="45">
        <v>100</v>
      </c>
      <c r="K134" s="45">
        <f>J134*(1+K133)</f>
        <v>104.5</v>
      </c>
      <c r="L134" s="45">
        <f>K134*(1+L133)</f>
        <v>108.94125</v>
      </c>
      <c r="M134" s="45">
        <f>L134*(1+M133)</f>
        <v>113.2989</v>
      </c>
      <c r="N134" s="45">
        <f>M134*(1+N133)</f>
        <v>117.54760875000001</v>
      </c>
      <c r="O134" s="45">
        <f>N134*(1+O133)</f>
        <v>121.66177505624999</v>
      </c>
    </row>
    <row r="135" spans="1:16" ht="15" customHeight="1" outlineLevel="1" x14ac:dyDescent="0.35"/>
    <row r="136" spans="1:16" ht="15" customHeight="1" outlineLevel="1" x14ac:dyDescent="0.4">
      <c r="B136" s="17" t="s">
        <v>285</v>
      </c>
      <c r="K136" s="36">
        <f>(1+K126)/(1+K133)-1</f>
        <v>2.8708133971291794E-2</v>
      </c>
      <c r="L136" s="36">
        <f>(1+L126)/(1+L133)-1</f>
        <v>2.6378896882494063E-2</v>
      </c>
      <c r="M136" s="36">
        <f>(1+M126)/(1+M133)-1</f>
        <v>2.4038461538461453E-2</v>
      </c>
      <c r="N136" s="36">
        <f>(1+N126)/(1+N133)-1</f>
        <v>2.168674698795181E-2</v>
      </c>
      <c r="O136" s="36">
        <f>(1+O126)/(1+O133)-1</f>
        <v>1.9323671497584627E-2</v>
      </c>
    </row>
    <row r="137" spans="1:16" ht="15" customHeight="1" outlineLevel="1" x14ac:dyDescent="0.4">
      <c r="B137" s="17" t="s">
        <v>286</v>
      </c>
      <c r="J137" s="45">
        <v>100</v>
      </c>
      <c r="K137" s="45">
        <f>J137*(1+K136)</f>
        <v>102.87081339712918</v>
      </c>
      <c r="L137" s="45">
        <f>K137*(1+L136)</f>
        <v>105.58443197595034</v>
      </c>
      <c r="M137" s="45">
        <f>L137*(1+M136)</f>
        <v>108.12251928306452</v>
      </c>
      <c r="N137" s="45">
        <f>M137*(1+N136)</f>
        <v>110.46734500245628</v>
      </c>
      <c r="O137" s="45">
        <f>N137*(1+O136)</f>
        <v>112.6019796884941</v>
      </c>
    </row>
    <row r="138" spans="1:16" ht="15" customHeight="1" outlineLevel="1" x14ac:dyDescent="0.4">
      <c r="B138" s="17"/>
      <c r="K138" s="18"/>
      <c r="L138" s="18"/>
      <c r="M138" s="18"/>
      <c r="N138" s="18"/>
      <c r="O138" s="18"/>
    </row>
    <row r="139" spans="1:16" ht="15" customHeight="1" outlineLevel="1" x14ac:dyDescent="0.35">
      <c r="B139" s="13" t="s">
        <v>287</v>
      </c>
    </row>
    <row r="140" spans="1:16" ht="15" customHeight="1" outlineLevel="1" x14ac:dyDescent="0.4">
      <c r="B140" s="17"/>
      <c r="K140" s="29"/>
      <c r="L140" s="29"/>
      <c r="M140" s="29"/>
      <c r="N140" s="29"/>
      <c r="O140" s="29"/>
    </row>
    <row r="141" spans="1:16" ht="15" customHeight="1" outlineLevel="1" x14ac:dyDescent="0.4">
      <c r="B141" s="17"/>
      <c r="K141" s="29"/>
      <c r="L141" s="29"/>
      <c r="M141" s="29"/>
      <c r="N141" s="29"/>
      <c r="O141" s="29"/>
    </row>
    <row r="142" spans="1:16" ht="15" customHeight="1" outlineLevel="1" x14ac:dyDescent="0.35">
      <c r="A142" s="1" t="s">
        <v>280</v>
      </c>
      <c r="B142" s="174" t="s">
        <v>288</v>
      </c>
      <c r="C142" s="174"/>
      <c r="D142" s="174"/>
      <c r="E142" s="174"/>
      <c r="F142" s="174"/>
      <c r="G142" s="174"/>
      <c r="H142" s="174"/>
      <c r="I142" s="174"/>
      <c r="J142" s="174"/>
      <c r="K142" s="174"/>
      <c r="L142" s="174"/>
      <c r="M142" s="174"/>
      <c r="N142" s="174"/>
      <c r="O142" s="174"/>
      <c r="P142" s="174"/>
    </row>
    <row r="143" spans="1:16" ht="15" customHeight="1" outlineLevel="1" x14ac:dyDescent="0.35"/>
    <row r="144" spans="1:16" ht="15" customHeight="1" outlineLevel="1" x14ac:dyDescent="0.35">
      <c r="B144" s="13" t="s">
        <v>124</v>
      </c>
      <c r="F144" s="13">
        <f t="shared" ref="F144:O144" si="29">F$5</f>
        <v>2022</v>
      </c>
      <c r="G144" s="13">
        <f t="shared" si="29"/>
        <v>2023</v>
      </c>
      <c r="H144" s="13">
        <f t="shared" si="29"/>
        <v>2024</v>
      </c>
      <c r="I144" s="13">
        <f t="shared" si="29"/>
        <v>2025</v>
      </c>
      <c r="J144" s="13">
        <f t="shared" si="29"/>
        <v>2026</v>
      </c>
      <c r="K144" s="46" t="str">
        <f t="shared" si="29"/>
        <v>2027E</v>
      </c>
      <c r="L144" s="46" t="str">
        <f t="shared" si="29"/>
        <v>2028E</v>
      </c>
      <c r="M144" s="46" t="str">
        <f t="shared" si="29"/>
        <v>2029E</v>
      </c>
      <c r="N144" s="46" t="str">
        <f t="shared" si="29"/>
        <v>2030E</v>
      </c>
      <c r="O144" s="46" t="str">
        <f t="shared" si="29"/>
        <v>2031E</v>
      </c>
    </row>
    <row r="145" spans="1:15" ht="15" customHeight="1" outlineLevel="1" x14ac:dyDescent="0.4">
      <c r="B145" s="16" t="str">
        <f>B$6</f>
        <v>Model Running: Base Case Drivers</v>
      </c>
      <c r="K145" s="18"/>
      <c r="L145" s="18"/>
      <c r="M145" s="18"/>
      <c r="N145" s="18"/>
      <c r="O145" s="18"/>
    </row>
    <row r="146" spans="1:15" ht="15" customHeight="1" outlineLevel="1" x14ac:dyDescent="0.4">
      <c r="B146" s="17"/>
      <c r="K146" s="18"/>
      <c r="L146" s="18"/>
      <c r="M146" s="18"/>
      <c r="N146" s="18"/>
      <c r="O146" s="18"/>
    </row>
    <row r="147" spans="1:15" ht="15" customHeight="1" outlineLevel="1" x14ac:dyDescent="0.35"/>
    <row r="148" spans="1:15" ht="15" customHeight="1" outlineLevel="1" x14ac:dyDescent="0.4">
      <c r="B148" s="15" t="s">
        <v>289</v>
      </c>
    </row>
    <row r="149" spans="1:15" ht="15" customHeight="1" outlineLevel="1" x14ac:dyDescent="0.35"/>
    <row r="150" spans="1:15" ht="21.75" customHeight="1" x14ac:dyDescent="0.4">
      <c r="A150" s="38"/>
      <c r="B150" s="17" t="s">
        <v>290</v>
      </c>
      <c r="F150" s="36">
        <f>F18/F11</f>
        <v>0.31744242762827457</v>
      </c>
      <c r="G150" s="36">
        <f>G18/G11</f>
        <v>0.35233251216210942</v>
      </c>
      <c r="H150" s="36">
        <f>H18/H11</f>
        <v>0.34171472929945995</v>
      </c>
      <c r="I150" s="36">
        <f>I18/I11</f>
        <v>0.3183105636151593</v>
      </c>
      <c r="J150" s="36">
        <f>J18/J11</f>
        <v>0.30382491672814255</v>
      </c>
      <c r="K150" s="36">
        <f>Inputs!H17</f>
        <v>0.29499999999999998</v>
      </c>
      <c r="L150" s="36">
        <f>Inputs!I17</f>
        <v>0.31</v>
      </c>
      <c r="M150" s="36">
        <f>Inputs!J17</f>
        <v>0.32</v>
      </c>
      <c r="N150" s="36">
        <f>Inputs!K17</f>
        <v>0.32800000000000001</v>
      </c>
      <c r="O150" s="36">
        <f>Inputs!L17</f>
        <v>0.33500000000000002</v>
      </c>
    </row>
    <row r="151" spans="1:15" ht="15" customHeight="1" outlineLevel="1" x14ac:dyDescent="0.35"/>
    <row r="152" spans="1:15" ht="15" customHeight="1" outlineLevel="1" x14ac:dyDescent="0.4">
      <c r="B152" s="13"/>
      <c r="F152" s="14"/>
      <c r="G152" s="14"/>
      <c r="H152" s="14"/>
      <c r="I152" s="14"/>
      <c r="J152" s="14"/>
      <c r="K152" s="14"/>
      <c r="L152" s="14"/>
      <c r="M152" s="14"/>
      <c r="N152" s="14"/>
      <c r="O152" s="14"/>
    </row>
    <row r="153" spans="1:15" ht="15" customHeight="1" outlineLevel="1" x14ac:dyDescent="0.4">
      <c r="B153" s="15" t="s">
        <v>291</v>
      </c>
    </row>
    <row r="154" spans="1:15" ht="15" customHeight="1" outlineLevel="1" x14ac:dyDescent="0.35"/>
    <row r="155" spans="1:15" ht="15" customHeight="1" outlineLevel="1" x14ac:dyDescent="0.4">
      <c r="B155" s="17" t="s">
        <v>292</v>
      </c>
      <c r="K155" s="18">
        <f>K128*(1-K150)</f>
        <v>68143.064973750006</v>
      </c>
      <c r="L155" s="18">
        <f>L128*(1-L150)</f>
        <v>71361.737404424988</v>
      </c>
      <c r="M155" s="18">
        <f>M128*(1-M150)</f>
        <v>74898.797432296487</v>
      </c>
      <c r="N155" s="18">
        <f>N128*(1-N150)</f>
        <v>78458.693216137399</v>
      </c>
      <c r="O155" s="18">
        <f>O128*(1-O150)</f>
        <v>81911.6929957018</v>
      </c>
    </row>
    <row r="156" spans="1:15" ht="15" customHeight="1" outlineLevel="1" x14ac:dyDescent="0.4">
      <c r="B156" s="15"/>
    </row>
    <row r="157" spans="1:15" ht="15" customHeight="1" outlineLevel="1" x14ac:dyDescent="0.4">
      <c r="B157" s="17" t="s">
        <v>293</v>
      </c>
      <c r="K157" s="29">
        <v>0.68700000000000006</v>
      </c>
      <c r="L157" s="29">
        <v>0.68700000000000006</v>
      </c>
      <c r="M157" s="29">
        <v>0.68700000000000006</v>
      </c>
      <c r="N157" s="29">
        <v>0.68700000000000006</v>
      </c>
      <c r="O157" s="29">
        <v>0.68700000000000006</v>
      </c>
    </row>
    <row r="158" spans="1:15" ht="15" customHeight="1" outlineLevel="1" x14ac:dyDescent="0.4">
      <c r="B158" s="17" t="s">
        <v>294</v>
      </c>
      <c r="F158" s="45"/>
      <c r="G158" s="45"/>
      <c r="H158" s="45"/>
      <c r="I158" s="45"/>
      <c r="J158" s="45"/>
      <c r="K158" s="29">
        <v>0.111</v>
      </c>
      <c r="L158" s="29">
        <v>0.111</v>
      </c>
      <c r="M158" s="29">
        <v>0.111</v>
      </c>
      <c r="N158" s="29">
        <v>0.111</v>
      </c>
      <c r="O158" s="29">
        <v>0.111</v>
      </c>
    </row>
    <row r="159" spans="1:15" ht="15" customHeight="1" outlineLevel="1" x14ac:dyDescent="0.4">
      <c r="B159" s="17" t="s">
        <v>295</v>
      </c>
      <c r="F159" s="18"/>
      <c r="G159" s="18"/>
      <c r="H159" s="18"/>
      <c r="I159" s="18"/>
      <c r="J159" s="18"/>
      <c r="K159" s="29">
        <v>0.20200000000000001</v>
      </c>
      <c r="L159" s="29">
        <v>0.20200000000000001</v>
      </c>
      <c r="M159" s="29">
        <v>0.20200000000000001</v>
      </c>
      <c r="N159" s="29">
        <v>0.20200000000000001</v>
      </c>
      <c r="O159" s="29">
        <v>0.20200000000000001</v>
      </c>
    </row>
    <row r="160" spans="1:15" ht="15" customHeight="1" outlineLevel="1" x14ac:dyDescent="0.35"/>
    <row r="161" spans="1:16" ht="15" customHeight="1" outlineLevel="1" x14ac:dyDescent="0.4">
      <c r="B161" s="17" t="s">
        <v>34</v>
      </c>
      <c r="F161" s="45"/>
      <c r="G161" s="45"/>
      <c r="H161" s="45"/>
      <c r="I161" s="45"/>
      <c r="J161" s="45"/>
      <c r="K161" s="18">
        <f>K155*K157</f>
        <v>46814.285636966255</v>
      </c>
      <c r="L161" s="18">
        <f>L155*L157</f>
        <v>49025.51359683997</v>
      </c>
      <c r="M161" s="18">
        <f>M155*M157</f>
        <v>51455.473835987694</v>
      </c>
      <c r="N161" s="18">
        <f>N155*N157</f>
        <v>53901.122239486394</v>
      </c>
      <c r="O161" s="18">
        <f>O155*O157</f>
        <v>56273.33308804714</v>
      </c>
    </row>
    <row r="162" spans="1:16" ht="15" customHeight="1" outlineLevel="1" x14ac:dyDescent="0.4">
      <c r="B162" s="17" t="s">
        <v>36</v>
      </c>
      <c r="F162" s="18"/>
      <c r="G162" s="18"/>
      <c r="H162" s="18"/>
      <c r="I162" s="18"/>
      <c r="J162" s="18"/>
      <c r="K162" s="18">
        <f>K155*K158</f>
        <v>7563.880212086251</v>
      </c>
      <c r="L162" s="18">
        <f>L155*L158</f>
        <v>7921.1528518911737</v>
      </c>
      <c r="M162" s="18">
        <f>M155*M158</f>
        <v>8313.7665149849108</v>
      </c>
      <c r="N162" s="18">
        <f>N155*N158</f>
        <v>8708.9149469912518</v>
      </c>
      <c r="O162" s="18">
        <f>O155*O158</f>
        <v>9092.1979225229006</v>
      </c>
    </row>
    <row r="163" spans="1:16" ht="15" customHeight="1" outlineLevel="1" x14ac:dyDescent="0.4">
      <c r="B163" s="17" t="s">
        <v>38</v>
      </c>
      <c r="K163" s="18">
        <f>K155*K159</f>
        <v>13764.899124697502</v>
      </c>
      <c r="L163" s="18">
        <f>L155*L159</f>
        <v>14415.070955693849</v>
      </c>
      <c r="M163" s="18">
        <f>M155*M159</f>
        <v>15129.557081323892</v>
      </c>
      <c r="N163" s="18">
        <f>N155*N159</f>
        <v>15848.656029659756</v>
      </c>
      <c r="O163" s="18">
        <f>O155*O159</f>
        <v>16546.161985131766</v>
      </c>
    </row>
    <row r="164" spans="1:16" ht="15" customHeight="1" outlineLevel="1" x14ac:dyDescent="0.4">
      <c r="B164" s="15"/>
    </row>
    <row r="165" spans="1:16" ht="15" customHeight="1" outlineLevel="1" x14ac:dyDescent="0.35"/>
    <row r="166" spans="1:16" ht="15" customHeight="1" outlineLevel="1" x14ac:dyDescent="0.4">
      <c r="B166" s="15" t="s">
        <v>296</v>
      </c>
      <c r="F166" s="36"/>
      <c r="G166" s="36"/>
      <c r="H166" s="36"/>
      <c r="I166" s="36"/>
      <c r="J166" s="36"/>
      <c r="K166" s="36"/>
      <c r="L166" s="36"/>
      <c r="M166" s="36"/>
      <c r="N166" s="36"/>
      <c r="O166" s="36"/>
    </row>
    <row r="167" spans="1:16" ht="15" customHeight="1" outlineLevel="1" x14ac:dyDescent="0.4">
      <c r="B167" s="15"/>
      <c r="F167" s="18"/>
      <c r="G167" s="18"/>
      <c r="H167" s="18"/>
      <c r="I167" s="18"/>
      <c r="J167" s="18"/>
      <c r="K167" s="40"/>
      <c r="L167" s="40"/>
      <c r="M167" s="40"/>
      <c r="N167" s="40"/>
      <c r="O167" s="40"/>
    </row>
    <row r="168" spans="1:16" ht="15" customHeight="1" outlineLevel="1" x14ac:dyDescent="0.4">
      <c r="B168" s="17" t="s">
        <v>297</v>
      </c>
      <c r="K168" s="47">
        <f>K161/K134*100</f>
        <v>44798.359461211723</v>
      </c>
      <c r="L168" s="47">
        <f>L161/L134*100</f>
        <v>45001.790962413201</v>
      </c>
      <c r="M168" s="47">
        <f>M161/M134*100</f>
        <v>45415.687033137736</v>
      </c>
      <c r="N168" s="47">
        <f>N161/N134*100</f>
        <v>45854.716070084571</v>
      </c>
      <c r="O168" s="47">
        <f>O161/O134*100</f>
        <v>46253.914232329189</v>
      </c>
    </row>
    <row r="169" spans="1:16" ht="15" customHeight="1" outlineLevel="1" x14ac:dyDescent="0.4">
      <c r="B169" s="17" t="s">
        <v>298</v>
      </c>
      <c r="K169" s="47">
        <f>K162+K163</f>
        <v>21328.779336783751</v>
      </c>
      <c r="L169" s="47">
        <f>L162+L163</f>
        <v>22336.223807585022</v>
      </c>
      <c r="M169" s="47">
        <f>M162+M163</f>
        <v>23443.323596308801</v>
      </c>
      <c r="N169" s="47">
        <f>N162+N163</f>
        <v>24557.570976651008</v>
      </c>
      <c r="O169" s="47">
        <f>O162+O163</f>
        <v>25638.359907654667</v>
      </c>
    </row>
    <row r="170" spans="1:16" ht="15" customHeight="1" outlineLevel="1" x14ac:dyDescent="0.35"/>
    <row r="171" spans="1:16" ht="15" customHeight="1" outlineLevel="1" x14ac:dyDescent="0.35"/>
    <row r="172" spans="1:16" ht="15" customHeight="1" outlineLevel="1" x14ac:dyDescent="0.35"/>
    <row r="173" spans="1:16" ht="17.25" customHeight="1" outlineLevel="1" x14ac:dyDescent="0.35">
      <c r="A173" s="1" t="s">
        <v>280</v>
      </c>
      <c r="B173" s="174" t="s">
        <v>299</v>
      </c>
      <c r="C173" s="174"/>
      <c r="D173" s="174"/>
      <c r="E173" s="174"/>
      <c r="F173" s="174"/>
      <c r="G173" s="174"/>
      <c r="H173" s="174"/>
      <c r="I173" s="174"/>
      <c r="J173" s="174"/>
      <c r="K173" s="174"/>
      <c r="L173" s="174"/>
      <c r="M173" s="174"/>
      <c r="N173" s="174"/>
      <c r="O173" s="174"/>
      <c r="P173" s="174"/>
    </row>
    <row r="174" spans="1:16" ht="15" customHeight="1" outlineLevel="1" x14ac:dyDescent="0.35"/>
    <row r="175" spans="1:16" ht="15" customHeight="1" outlineLevel="1" x14ac:dyDescent="0.35">
      <c r="B175" s="13" t="s">
        <v>124</v>
      </c>
      <c r="F175" s="13">
        <f t="shared" ref="F175:O175" si="30">F$5</f>
        <v>2022</v>
      </c>
      <c r="G175" s="13">
        <f t="shared" si="30"/>
        <v>2023</v>
      </c>
      <c r="H175" s="13">
        <f t="shared" si="30"/>
        <v>2024</v>
      </c>
      <c r="I175" s="13">
        <f t="shared" si="30"/>
        <v>2025</v>
      </c>
      <c r="J175" s="13">
        <f t="shared" si="30"/>
        <v>2026</v>
      </c>
      <c r="K175" s="13" t="str">
        <f t="shared" si="30"/>
        <v>2027E</v>
      </c>
      <c r="L175" s="13" t="str">
        <f t="shared" si="30"/>
        <v>2028E</v>
      </c>
      <c r="M175" s="13" t="str">
        <f t="shared" si="30"/>
        <v>2029E</v>
      </c>
      <c r="N175" s="13" t="str">
        <f t="shared" si="30"/>
        <v>2030E</v>
      </c>
      <c r="O175" s="13" t="str">
        <f t="shared" si="30"/>
        <v>2031E</v>
      </c>
    </row>
    <row r="176" spans="1:16" ht="15" customHeight="1" outlineLevel="1" x14ac:dyDescent="0.35">
      <c r="B176" s="16" t="str">
        <f>B$6</f>
        <v>Model Running: Base Case Drivers</v>
      </c>
    </row>
    <row r="177" spans="1:15" ht="15" customHeight="1" outlineLevel="1" x14ac:dyDescent="0.35"/>
    <row r="178" spans="1:15" ht="15" customHeight="1" outlineLevel="1" x14ac:dyDescent="0.35"/>
    <row r="179" spans="1:15" ht="15" customHeight="1" outlineLevel="1" x14ac:dyDescent="0.4">
      <c r="B179" s="15" t="s">
        <v>300</v>
      </c>
    </row>
    <row r="180" spans="1:15" ht="15" customHeight="1" outlineLevel="1" x14ac:dyDescent="0.35"/>
    <row r="181" spans="1:15" ht="15" customHeight="1" outlineLevel="1" x14ac:dyDescent="0.4">
      <c r="B181" s="17" t="s">
        <v>301</v>
      </c>
      <c r="F181" s="45">
        <f>F83/F11*365</f>
        <v>14.817385044061677</v>
      </c>
      <c r="G181" s="45">
        <f>G83/G11*365</f>
        <v>15.214563002342247</v>
      </c>
      <c r="H181" s="45">
        <f>H83/H11*365</f>
        <v>19.88626150556296</v>
      </c>
      <c r="I181" s="45">
        <f>I83/I11*365</f>
        <v>21.107963115580674</v>
      </c>
      <c r="J181" s="45">
        <f>J83/J11*365</f>
        <v>15.924712164481063</v>
      </c>
      <c r="K181" s="45">
        <f>Inputs!H39</f>
        <v>18.5</v>
      </c>
      <c r="L181" s="45">
        <f>Inputs!I39</f>
        <v>18.5</v>
      </c>
      <c r="M181" s="45">
        <f>Inputs!J39</f>
        <v>18.5</v>
      </c>
      <c r="N181" s="45">
        <f>Inputs!K39</f>
        <v>18.5</v>
      </c>
      <c r="O181" s="45">
        <f>Inputs!L39</f>
        <v>18.5</v>
      </c>
    </row>
    <row r="182" spans="1:15" ht="21.75" customHeight="1" x14ac:dyDescent="0.4">
      <c r="A182" s="38"/>
      <c r="B182" s="17" t="s">
        <v>179</v>
      </c>
      <c r="F182" s="18">
        <f>F83</f>
        <v>2461.9</v>
      </c>
      <c r="G182" s="18">
        <f>G83</f>
        <v>2956.17</v>
      </c>
      <c r="H182" s="18">
        <f>H83</f>
        <v>4025.82</v>
      </c>
      <c r="I182" s="18">
        <f>I83</f>
        <v>4719.67</v>
      </c>
      <c r="J182" s="18">
        <f>J83</f>
        <v>3922.86</v>
      </c>
      <c r="K182" s="18">
        <f>K128/365*K181</f>
        <v>4899.0447955479449</v>
      </c>
      <c r="L182" s="18">
        <f>L128/365*L181</f>
        <v>5241.9779312363007</v>
      </c>
      <c r="M182" s="18">
        <f>M128/365*M181</f>
        <v>5582.7064967666602</v>
      </c>
      <c r="N182" s="18">
        <f>N128/365*N181</f>
        <v>5917.6688865726592</v>
      </c>
      <c r="O182" s="18">
        <f>O128/365*O181</f>
        <v>6243.1406753341571</v>
      </c>
    </row>
    <row r="183" spans="1:15" ht="15" customHeight="1" outlineLevel="1" x14ac:dyDescent="0.35"/>
    <row r="184" spans="1:15" ht="15" customHeight="1" outlineLevel="1" x14ac:dyDescent="0.4">
      <c r="B184" s="17" t="s">
        <v>302</v>
      </c>
      <c r="F184" s="48">
        <f>F84/F11*365</f>
        <v>65.387827989131424</v>
      </c>
      <c r="G184" s="48">
        <f>G84/G11*365</f>
        <v>60.582799849349314</v>
      </c>
      <c r="H184" s="48">
        <f>H84/H11*365</f>
        <v>70.651646611792458</v>
      </c>
      <c r="I184" s="48">
        <f>I84/I11*365</f>
        <v>70.824582865575707</v>
      </c>
      <c r="J184" s="48">
        <f>J84/J11*365</f>
        <v>76.612858738520757</v>
      </c>
      <c r="K184" s="48">
        <f>Inputs!H40</f>
        <v>75</v>
      </c>
      <c r="L184" s="48">
        <f>Inputs!I40</f>
        <v>75</v>
      </c>
      <c r="M184" s="48">
        <f>Inputs!J40</f>
        <v>75</v>
      </c>
      <c r="N184" s="48">
        <f>Inputs!K40</f>
        <v>75</v>
      </c>
      <c r="O184" s="48">
        <f>Inputs!L40</f>
        <v>75</v>
      </c>
    </row>
    <row r="185" spans="1:15" ht="15" customHeight="1" outlineLevel="1" x14ac:dyDescent="0.4">
      <c r="B185" s="17" t="s">
        <v>181</v>
      </c>
      <c r="F185" s="18">
        <f>F84</f>
        <v>10864.15</v>
      </c>
      <c r="G185" s="18">
        <f>G84</f>
        <v>11771.16</v>
      </c>
      <c r="H185" s="18">
        <f>H84</f>
        <v>14302.88</v>
      </c>
      <c r="I185" s="18">
        <f>I84</f>
        <v>15836.14</v>
      </c>
      <c r="J185" s="18">
        <f>J84</f>
        <v>18872.650000000001</v>
      </c>
      <c r="K185" s="18">
        <f>K128/365*K184</f>
        <v>19860.99241438356</v>
      </c>
      <c r="L185" s="18">
        <f>L128/365*L184</f>
        <v>21251.261883390409</v>
      </c>
      <c r="M185" s="18">
        <f>M128/365*M184</f>
        <v>22632.593905810783</v>
      </c>
      <c r="N185" s="18">
        <f>N128/365*N184</f>
        <v>23990.549540159431</v>
      </c>
      <c r="O185" s="18">
        <f>O128/365*O184</f>
        <v>25310.029764868203</v>
      </c>
    </row>
    <row r="186" spans="1:15" ht="15" customHeight="1" outlineLevel="1" x14ac:dyDescent="0.35"/>
    <row r="187" spans="1:15" ht="15" customHeight="1" outlineLevel="1" x14ac:dyDescent="0.4">
      <c r="B187" s="15" t="s">
        <v>303</v>
      </c>
    </row>
    <row r="188" spans="1:15" ht="15" customHeight="1" outlineLevel="1" x14ac:dyDescent="0.4">
      <c r="B188" s="17" t="s">
        <v>304</v>
      </c>
      <c r="F188" s="36">
        <f>F95/F11</f>
        <v>0.23894995328515972</v>
      </c>
      <c r="G188" s="36">
        <f>G95/G11</f>
        <v>0.2308218259612406</v>
      </c>
      <c r="H188" s="36">
        <f>H95/H11</f>
        <v>0.20007015698572894</v>
      </c>
      <c r="I188" s="36">
        <f>I95/I11</f>
        <v>0.18402779564671123</v>
      </c>
      <c r="J188" s="36">
        <f>J95/J11</f>
        <v>0.17398443590066123</v>
      </c>
      <c r="K188" s="36">
        <f>Inputs!H41</f>
        <v>0.18</v>
      </c>
      <c r="L188" s="36">
        <f>Inputs!I41</f>
        <v>0.18</v>
      </c>
      <c r="M188" s="36">
        <f>Inputs!J41</f>
        <v>0.18</v>
      </c>
      <c r="N188" s="36">
        <f>Inputs!K41</f>
        <v>0.18</v>
      </c>
      <c r="O188" s="36">
        <f>Inputs!L41</f>
        <v>0.18</v>
      </c>
    </row>
    <row r="189" spans="1:15" ht="15" customHeight="1" outlineLevel="1" x14ac:dyDescent="0.4">
      <c r="B189" s="17" t="s">
        <v>182</v>
      </c>
      <c r="F189" s="18">
        <f>F95</f>
        <v>14491.01</v>
      </c>
      <c r="G189" s="18">
        <f>G95</f>
        <v>16369.66</v>
      </c>
      <c r="H189" s="18">
        <f>H95</f>
        <v>14783.47</v>
      </c>
      <c r="I189" s="18">
        <f>I95</f>
        <v>15019.02</v>
      </c>
      <c r="J189" s="18">
        <f>J95</f>
        <v>15643.52</v>
      </c>
      <c r="K189" s="18">
        <f>K128*K188</f>
        <v>17398.229354999996</v>
      </c>
      <c r="L189" s="18">
        <f>L128*L188</f>
        <v>18616.105409849999</v>
      </c>
      <c r="M189" s="18">
        <f>M128*M188</f>
        <v>19826.152261490246</v>
      </c>
      <c r="N189" s="18">
        <f>N128*N188</f>
        <v>21015.721397179663</v>
      </c>
      <c r="O189" s="18">
        <f>O128*O188</f>
        <v>22171.586074024548</v>
      </c>
    </row>
    <row r="190" spans="1:15" ht="15" customHeight="1" outlineLevel="1" x14ac:dyDescent="0.4">
      <c r="B190" s="17"/>
      <c r="F190" s="39"/>
      <c r="G190" s="18"/>
      <c r="H190" s="18"/>
      <c r="I190" s="18"/>
      <c r="J190" s="18"/>
      <c r="K190" s="18"/>
      <c r="L190" s="18"/>
      <c r="M190" s="18"/>
      <c r="N190" s="18"/>
      <c r="O190" s="18"/>
    </row>
    <row r="191" spans="1:15" ht="15" customHeight="1" outlineLevel="1" x14ac:dyDescent="0.4">
      <c r="B191" s="17"/>
      <c r="F191" s="18"/>
      <c r="G191" s="18"/>
      <c r="H191" s="18"/>
      <c r="I191" s="18"/>
      <c r="J191" s="18"/>
      <c r="K191" s="18"/>
      <c r="L191" s="18"/>
      <c r="M191" s="18"/>
      <c r="N191" s="18"/>
      <c r="O191" s="18"/>
    </row>
    <row r="192" spans="1:15" ht="15" customHeight="1" outlineLevel="1" x14ac:dyDescent="0.4">
      <c r="B192" s="17"/>
      <c r="F192" s="18"/>
      <c r="G192" s="18"/>
      <c r="H192" s="18"/>
      <c r="I192" s="18"/>
      <c r="J192" s="18"/>
      <c r="K192" s="18"/>
      <c r="L192" s="18"/>
      <c r="M192" s="18"/>
      <c r="N192" s="18"/>
      <c r="O192" s="18"/>
    </row>
    <row r="193" spans="1:16" ht="15" customHeight="1" outlineLevel="1" x14ac:dyDescent="0.4">
      <c r="B193" s="15"/>
      <c r="F193" s="49"/>
      <c r="G193" s="49"/>
      <c r="H193" s="49"/>
      <c r="I193" s="49"/>
      <c r="J193" s="49"/>
      <c r="K193" s="40"/>
      <c r="L193" s="40"/>
      <c r="M193" s="40"/>
      <c r="N193" s="40"/>
      <c r="O193" s="40"/>
    </row>
    <row r="194" spans="1:16" ht="17.25" customHeight="1" outlineLevel="1" x14ac:dyDescent="0.35">
      <c r="A194" s="1" t="s">
        <v>280</v>
      </c>
      <c r="B194" s="174" t="s">
        <v>305</v>
      </c>
      <c r="C194" s="174"/>
      <c r="D194" s="174"/>
      <c r="E194" s="174"/>
      <c r="F194" s="174"/>
      <c r="G194" s="174"/>
      <c r="H194" s="174"/>
      <c r="I194" s="174"/>
      <c r="J194" s="174"/>
      <c r="K194" s="174"/>
      <c r="L194" s="174"/>
      <c r="M194" s="174"/>
      <c r="N194" s="174"/>
      <c r="O194" s="174"/>
      <c r="P194" s="174"/>
    </row>
    <row r="195" spans="1:16" ht="15" customHeight="1" outlineLevel="1" x14ac:dyDescent="0.35"/>
    <row r="196" spans="1:16" ht="15" customHeight="1" outlineLevel="1" x14ac:dyDescent="0.35">
      <c r="B196" s="13" t="s">
        <v>124</v>
      </c>
      <c r="F196" s="13">
        <f t="shared" ref="F196:O196" si="31">F$5</f>
        <v>2022</v>
      </c>
      <c r="G196" s="13">
        <f t="shared" si="31"/>
        <v>2023</v>
      </c>
      <c r="H196" s="13">
        <f t="shared" si="31"/>
        <v>2024</v>
      </c>
      <c r="I196" s="13">
        <f t="shared" si="31"/>
        <v>2025</v>
      </c>
      <c r="J196" s="13">
        <f t="shared" si="31"/>
        <v>2026</v>
      </c>
      <c r="K196" s="13" t="str">
        <f t="shared" si="31"/>
        <v>2027E</v>
      </c>
      <c r="L196" s="13" t="str">
        <f t="shared" si="31"/>
        <v>2028E</v>
      </c>
      <c r="M196" s="13" t="str">
        <f t="shared" si="31"/>
        <v>2029E</v>
      </c>
      <c r="N196" s="13" t="str">
        <f t="shared" si="31"/>
        <v>2030E</v>
      </c>
      <c r="O196" s="13" t="str">
        <f t="shared" si="31"/>
        <v>2031E</v>
      </c>
    </row>
    <row r="197" spans="1:16" ht="21.75" customHeight="1" x14ac:dyDescent="0.35">
      <c r="A197" s="38"/>
      <c r="B197" s="16" t="str">
        <f>B$6</f>
        <v>Model Running: Base Case Drivers</v>
      </c>
    </row>
    <row r="198" spans="1:16" ht="15" customHeight="1" outlineLevel="1" x14ac:dyDescent="0.35"/>
    <row r="199" spans="1:16" ht="15" customHeight="1" outlineLevel="1" x14ac:dyDescent="0.4">
      <c r="B199" s="13"/>
      <c r="F199" s="14"/>
      <c r="G199" s="14"/>
      <c r="H199" s="14"/>
      <c r="I199" s="14"/>
      <c r="J199" s="14"/>
      <c r="K199" s="14"/>
      <c r="L199" s="14"/>
      <c r="M199" s="14"/>
      <c r="N199" s="14"/>
      <c r="O199" s="14"/>
    </row>
    <row r="200" spans="1:16" ht="15" customHeight="1" outlineLevel="1" x14ac:dyDescent="0.4">
      <c r="B200" s="15" t="s">
        <v>306</v>
      </c>
    </row>
    <row r="201" spans="1:16" ht="15" customHeight="1" outlineLevel="1" x14ac:dyDescent="0.35"/>
    <row r="202" spans="1:16" ht="15" customHeight="1" outlineLevel="1" x14ac:dyDescent="0.4">
      <c r="B202" s="17" t="s">
        <v>307</v>
      </c>
      <c r="F202" s="39">
        <v>27309.77</v>
      </c>
      <c r="G202" s="18">
        <f t="shared" ref="G202:O202" si="32">F205</f>
        <v>27457.13</v>
      </c>
      <c r="H202" s="18">
        <f t="shared" si="32"/>
        <v>28854.57</v>
      </c>
      <c r="I202" s="18">
        <f t="shared" si="32"/>
        <v>27213.52</v>
      </c>
      <c r="J202" s="18">
        <f t="shared" si="32"/>
        <v>19420.78</v>
      </c>
      <c r="K202" s="18">
        <f t="shared" si="32"/>
        <v>19854.990000000002</v>
      </c>
      <c r="L202" s="18">
        <f t="shared" si="32"/>
        <v>21467.602869025002</v>
      </c>
      <c r="M202" s="18">
        <f t="shared" si="32"/>
        <v>23083.405413431752</v>
      </c>
      <c r="N202" s="18">
        <f t="shared" si="32"/>
        <v>24686.124972647689</v>
      </c>
      <c r="O202" s="18">
        <f t="shared" si="32"/>
        <v>26257.342978825927</v>
      </c>
    </row>
    <row r="203" spans="1:16" ht="15" customHeight="1" outlineLevel="1" x14ac:dyDescent="0.4">
      <c r="B203" s="17" t="s">
        <v>251</v>
      </c>
      <c r="F203" s="18">
        <f>F205-F202+F204</f>
        <v>1879.7700000000007</v>
      </c>
      <c r="G203" s="18">
        <f>G205-G202+G204</f>
        <v>3206.4499999999989</v>
      </c>
      <c r="H203" s="18">
        <f>H205-H202+H204</f>
        <v>-122.99999999999932</v>
      </c>
      <c r="I203" s="18">
        <f>I205-I202+I204</f>
        <v>-6146.4200000000019</v>
      </c>
      <c r="J203" s="18">
        <f>J205-J202+J204</f>
        <v>2144.7400000000025</v>
      </c>
      <c r="K203" s="18">
        <f>K128*Inputs!H24</f>
        <v>3189.6753817499998</v>
      </c>
      <c r="L203" s="18">
        <f>L128*Inputs!I24</f>
        <v>3412.9526584724999</v>
      </c>
      <c r="M203" s="18">
        <f>M128*Inputs!J24</f>
        <v>3634.7945812732123</v>
      </c>
      <c r="N203" s="18">
        <f>N128*Inputs!K24</f>
        <v>3852.8822561496049</v>
      </c>
      <c r="O203" s="18">
        <f>O128*Inputs!L24</f>
        <v>4064.790780237834</v>
      </c>
    </row>
    <row r="204" spans="1:16" ht="15" customHeight="1" outlineLevel="1" x14ac:dyDescent="0.4">
      <c r="B204" s="17" t="s">
        <v>188</v>
      </c>
      <c r="F204" s="18">
        <f>-F21</f>
        <v>1732.41</v>
      </c>
      <c r="G204" s="18">
        <f>-G21</f>
        <v>1809.01</v>
      </c>
      <c r="H204" s="18">
        <f>-H21</f>
        <v>1518.05</v>
      </c>
      <c r="I204" s="18">
        <f>-I21</f>
        <v>1646.32</v>
      </c>
      <c r="J204" s="18">
        <f>-J21</f>
        <v>1710.53</v>
      </c>
      <c r="K204" s="18">
        <f>K226</f>
        <v>1577.062512725</v>
      </c>
      <c r="L204" s="18">
        <f>L226</f>
        <v>1797.1501140657501</v>
      </c>
      <c r="M204" s="18">
        <f>M226</f>
        <v>2032.0750220572736</v>
      </c>
      <c r="N204" s="18">
        <f>N226</f>
        <v>2281.6642499713676</v>
      </c>
      <c r="O204" s="18">
        <f>O226</f>
        <v>2545.5866845176156</v>
      </c>
    </row>
    <row r="205" spans="1:16" ht="15" customHeight="1" outlineLevel="1" x14ac:dyDescent="0.4">
      <c r="B205" s="17" t="s">
        <v>308</v>
      </c>
      <c r="F205" s="39">
        <v>27457.13</v>
      </c>
      <c r="G205" s="39">
        <v>28854.57</v>
      </c>
      <c r="H205" s="39">
        <v>27213.52</v>
      </c>
      <c r="I205" s="39">
        <v>19420.78</v>
      </c>
      <c r="J205" s="39">
        <v>19854.990000000002</v>
      </c>
      <c r="K205" s="40">
        <f>K202+K203-K204</f>
        <v>21467.602869025002</v>
      </c>
      <c r="L205" s="40">
        <f>L202+L203-L204</f>
        <v>23083.405413431752</v>
      </c>
      <c r="M205" s="40">
        <f>M202+M203-M204</f>
        <v>24686.124972647689</v>
      </c>
      <c r="N205" s="40">
        <f>N202+N203-N204</f>
        <v>26257.342978825927</v>
      </c>
      <c r="O205" s="40">
        <f>O202+O203-O204</f>
        <v>27776.547074546146</v>
      </c>
    </row>
    <row r="206" spans="1:16" ht="15" customHeight="1" outlineLevel="1" x14ac:dyDescent="0.4">
      <c r="B206" s="17"/>
      <c r="F206" s="18"/>
      <c r="G206" s="18"/>
      <c r="H206" s="18"/>
      <c r="I206" s="18"/>
      <c r="J206" s="18"/>
      <c r="K206" s="39"/>
      <c r="L206" s="39"/>
      <c r="M206" s="39"/>
      <c r="N206" s="39"/>
      <c r="O206" s="39"/>
    </row>
    <row r="207" spans="1:16" ht="15" customHeight="1" outlineLevel="1" x14ac:dyDescent="0.4">
      <c r="B207" s="15"/>
      <c r="F207" s="49"/>
      <c r="G207" s="49"/>
      <c r="H207" s="49"/>
      <c r="I207" s="49"/>
      <c r="J207" s="49"/>
      <c r="K207" s="40"/>
      <c r="L207" s="40"/>
      <c r="M207" s="40"/>
      <c r="N207" s="40"/>
      <c r="O207" s="40"/>
    </row>
    <row r="208" spans="1:16" ht="15" customHeight="1" outlineLevel="1" x14ac:dyDescent="0.4">
      <c r="B208" s="15" t="s">
        <v>309</v>
      </c>
    </row>
    <row r="209" spans="1:15" ht="15" customHeight="1" outlineLevel="1" x14ac:dyDescent="0.4">
      <c r="B209" s="17"/>
      <c r="F209" s="50"/>
      <c r="G209" s="50"/>
      <c r="H209" s="50"/>
      <c r="I209" s="50"/>
      <c r="J209" s="50"/>
      <c r="K209" s="50"/>
      <c r="L209" s="50"/>
      <c r="M209" s="50"/>
      <c r="N209" s="50"/>
      <c r="O209" s="50"/>
    </row>
    <row r="210" spans="1:15" ht="15" customHeight="1" outlineLevel="1" x14ac:dyDescent="0.4">
      <c r="B210" s="17" t="s">
        <v>310</v>
      </c>
      <c r="D210" s="45">
        <f>Inputs!$H$74</f>
        <v>13.5</v>
      </c>
      <c r="F210" s="18"/>
      <c r="G210" s="18"/>
      <c r="H210" s="18"/>
      <c r="I210" s="18"/>
      <c r="J210" s="18"/>
      <c r="K210" s="40"/>
      <c r="L210" s="40"/>
      <c r="M210" s="40"/>
      <c r="N210" s="40"/>
      <c r="O210" s="40"/>
    </row>
    <row r="211" spans="1:15" ht="15" customHeight="1" outlineLevel="1" x14ac:dyDescent="0.4">
      <c r="B211" s="17" t="s">
        <v>311</v>
      </c>
      <c r="K211" s="18">
        <f>$J$205</f>
        <v>19854.990000000002</v>
      </c>
      <c r="L211" s="18">
        <f>$J$205</f>
        <v>19854.990000000002</v>
      </c>
      <c r="M211" s="18">
        <f>$J$205</f>
        <v>19854.990000000002</v>
      </c>
      <c r="N211" s="18">
        <f>$J$205</f>
        <v>19854.990000000002</v>
      </c>
      <c r="O211" s="18">
        <f>$J$205</f>
        <v>19854.990000000002</v>
      </c>
    </row>
    <row r="212" spans="1:15" ht="15" customHeight="1" outlineLevel="1" x14ac:dyDescent="0.4">
      <c r="B212" s="17" t="s">
        <v>312</v>
      </c>
      <c r="K212" s="18">
        <f>K211/$D$210</f>
        <v>1470.74</v>
      </c>
      <c r="L212" s="18">
        <f>L211/$D$210</f>
        <v>1470.74</v>
      </c>
      <c r="M212" s="18">
        <f>M211/$D$210</f>
        <v>1470.74</v>
      </c>
      <c r="N212" s="18">
        <f>N211/$D$210</f>
        <v>1470.74</v>
      </c>
      <c r="O212" s="18">
        <f>O211/$D$210</f>
        <v>1470.74</v>
      </c>
    </row>
    <row r="213" spans="1:15" ht="15" customHeight="1" outlineLevel="1" x14ac:dyDescent="0.35"/>
    <row r="214" spans="1:15" ht="21.75" customHeight="1" x14ac:dyDescent="0.35">
      <c r="A214" s="38"/>
      <c r="B214" s="37"/>
    </row>
    <row r="215" spans="1:15" ht="15" customHeight="1" outlineLevel="1" x14ac:dyDescent="0.4">
      <c r="B215" s="15" t="s">
        <v>313</v>
      </c>
    </row>
    <row r="216" spans="1:15" ht="15" customHeight="1" outlineLevel="1" x14ac:dyDescent="0.4">
      <c r="B216" s="13"/>
      <c r="F216" s="14"/>
      <c r="G216" s="14"/>
      <c r="H216" s="14"/>
      <c r="I216" s="14"/>
      <c r="J216" s="14"/>
      <c r="K216" s="14"/>
      <c r="L216" s="14"/>
      <c r="M216" s="14"/>
      <c r="N216" s="14"/>
      <c r="O216" s="14"/>
    </row>
    <row r="217" spans="1:15" ht="15" customHeight="1" outlineLevel="1" x14ac:dyDescent="0.4">
      <c r="B217" s="17" t="s">
        <v>310</v>
      </c>
      <c r="D217" s="45">
        <f>Inputs!$H$75</f>
        <v>15</v>
      </c>
    </row>
    <row r="218" spans="1:15" ht="15" customHeight="1" outlineLevel="1" x14ac:dyDescent="0.4">
      <c r="B218" s="17" t="s">
        <v>251</v>
      </c>
      <c r="K218" s="18">
        <f>K203</f>
        <v>3189.6753817499998</v>
      </c>
      <c r="L218" s="18">
        <f>L203</f>
        <v>3412.9526584724999</v>
      </c>
      <c r="M218" s="18">
        <f>M203</f>
        <v>3634.7945812732123</v>
      </c>
      <c r="N218" s="18">
        <f>N203</f>
        <v>3852.8822561496049</v>
      </c>
      <c r="O218" s="18">
        <f>O203</f>
        <v>4064.790780237834</v>
      </c>
    </row>
    <row r="219" spans="1:15" ht="15" customHeight="1" outlineLevel="1" x14ac:dyDescent="0.4">
      <c r="B219" s="17" t="s">
        <v>314</v>
      </c>
      <c r="K219" s="18">
        <f>0.5*K218/$D$217</f>
        <v>106.322512725</v>
      </c>
      <c r="L219" s="18">
        <f>(0.5*L218+K218)/$D$217</f>
        <v>326.41011406575001</v>
      </c>
      <c r="M219" s="18">
        <f>(0.5*M218+SUM(K218:L218))/$D$217</f>
        <v>561.3350220572737</v>
      </c>
      <c r="N219" s="18">
        <f>(0.5*N218+SUM(K218:M218))/$D$217</f>
        <v>810.92424997136766</v>
      </c>
      <c r="O219" s="18">
        <f>(0.5*O218+SUM(K218:N218))/$D$217</f>
        <v>1074.8466845176156</v>
      </c>
    </row>
    <row r="220" spans="1:15" ht="15" customHeight="1" outlineLevel="1" x14ac:dyDescent="0.4">
      <c r="B220" s="15"/>
    </row>
    <row r="221" spans="1:15" ht="15" customHeight="1" outlineLevel="1" x14ac:dyDescent="0.35"/>
    <row r="222" spans="1:15" ht="15" customHeight="1" outlineLevel="1" x14ac:dyDescent="0.4">
      <c r="B222" s="15" t="s">
        <v>315</v>
      </c>
    </row>
    <row r="223" spans="1:15" ht="15" customHeight="1" outlineLevel="1" x14ac:dyDescent="0.4">
      <c r="B223" s="17"/>
    </row>
    <row r="224" spans="1:15" ht="15" customHeight="1" outlineLevel="1" x14ac:dyDescent="0.4">
      <c r="B224" s="17" t="s">
        <v>316</v>
      </c>
      <c r="F224" s="18"/>
      <c r="G224" s="18"/>
      <c r="H224" s="18"/>
      <c r="I224" s="18"/>
      <c r="J224" s="18"/>
      <c r="K224" s="18">
        <f>K212</f>
        <v>1470.74</v>
      </c>
      <c r="L224" s="18">
        <f>L212</f>
        <v>1470.74</v>
      </c>
      <c r="M224" s="18">
        <f>M212</f>
        <v>1470.74</v>
      </c>
      <c r="N224" s="18">
        <f>N212</f>
        <v>1470.74</v>
      </c>
      <c r="O224" s="18">
        <f>O212</f>
        <v>1470.74</v>
      </c>
    </row>
    <row r="225" spans="1:16" ht="15" customHeight="1" outlineLevel="1" x14ac:dyDescent="0.4">
      <c r="B225" s="17" t="s">
        <v>317</v>
      </c>
      <c r="K225" s="18">
        <f>K219</f>
        <v>106.322512725</v>
      </c>
      <c r="L225" s="18">
        <f>L219</f>
        <v>326.41011406575001</v>
      </c>
      <c r="M225" s="18">
        <f>M219</f>
        <v>561.3350220572737</v>
      </c>
      <c r="N225" s="18">
        <f>N219</f>
        <v>810.92424997136766</v>
      </c>
      <c r="O225" s="18">
        <f>O219</f>
        <v>1074.8466845176156</v>
      </c>
    </row>
    <row r="226" spans="1:16" ht="15" customHeight="1" outlineLevel="1" x14ac:dyDescent="0.4">
      <c r="B226" s="15" t="s">
        <v>318</v>
      </c>
      <c r="K226" s="40">
        <f>SUM(K224:K225)</f>
        <v>1577.062512725</v>
      </c>
      <c r="L226" s="40">
        <f>SUM(L224:L225)</f>
        <v>1797.1501140657501</v>
      </c>
      <c r="M226" s="40">
        <f>SUM(M224:M225)</f>
        <v>2032.0750220572736</v>
      </c>
      <c r="N226" s="40">
        <f>SUM(N224:N225)</f>
        <v>2281.6642499713676</v>
      </c>
      <c r="O226" s="40">
        <f>SUM(O224:O225)</f>
        <v>2545.5866845176156</v>
      </c>
    </row>
    <row r="227" spans="1:16" ht="15" customHeight="1" outlineLevel="1" x14ac:dyDescent="0.4">
      <c r="B227" s="15"/>
    </row>
    <row r="228" spans="1:16" ht="15" customHeight="1" outlineLevel="1" x14ac:dyDescent="0.35">
      <c r="B228" s="13" t="s">
        <v>319</v>
      </c>
    </row>
    <row r="229" spans="1:16" ht="15" customHeight="1" outlineLevel="1" x14ac:dyDescent="0.4">
      <c r="B229" s="17"/>
      <c r="F229" s="18"/>
      <c r="G229" s="18"/>
      <c r="H229" s="18"/>
      <c r="I229" s="18"/>
      <c r="J229" s="18"/>
      <c r="K229" s="18"/>
      <c r="L229" s="18"/>
      <c r="M229" s="18"/>
      <c r="N229" s="18"/>
      <c r="O229" s="18"/>
    </row>
    <row r="230" spans="1:16" ht="15" customHeight="1" outlineLevel="1" x14ac:dyDescent="0.4">
      <c r="B230" s="17"/>
      <c r="F230" s="18"/>
      <c r="G230" s="18"/>
      <c r="H230" s="18"/>
      <c r="I230" s="18"/>
      <c r="J230" s="18"/>
      <c r="K230" s="18"/>
      <c r="L230" s="18"/>
      <c r="M230" s="18"/>
      <c r="N230" s="18"/>
      <c r="O230" s="18"/>
    </row>
    <row r="231" spans="1:16" ht="15" customHeight="1" outlineLevel="1" x14ac:dyDescent="0.35">
      <c r="B231" s="16"/>
      <c r="F231" s="19"/>
      <c r="G231" s="19"/>
      <c r="H231" s="19"/>
      <c r="I231" s="19"/>
      <c r="J231" s="19"/>
      <c r="K231" s="19"/>
      <c r="L231" s="19"/>
      <c r="M231" s="19"/>
      <c r="N231" s="19"/>
      <c r="O231" s="19"/>
    </row>
    <row r="232" spans="1:16" ht="15" customHeight="1" outlineLevel="1" x14ac:dyDescent="0.4">
      <c r="B232" s="15"/>
      <c r="F232" s="18"/>
      <c r="G232" s="18"/>
      <c r="H232" s="18"/>
      <c r="I232" s="18"/>
      <c r="J232" s="18"/>
      <c r="K232" s="18"/>
      <c r="L232" s="18"/>
      <c r="M232" s="18"/>
      <c r="N232" s="18"/>
      <c r="O232" s="18"/>
    </row>
    <row r="233" spans="1:16" ht="15" customHeight="1" outlineLevel="1" x14ac:dyDescent="0.35"/>
    <row r="234" spans="1:16" ht="17.25" customHeight="1" outlineLevel="1" x14ac:dyDescent="0.35">
      <c r="A234" s="1" t="s">
        <v>280</v>
      </c>
      <c r="B234" s="174" t="s">
        <v>320</v>
      </c>
      <c r="C234" s="174"/>
      <c r="D234" s="174"/>
      <c r="E234" s="174"/>
      <c r="F234" s="174"/>
      <c r="G234" s="174"/>
      <c r="H234" s="174"/>
      <c r="I234" s="174"/>
      <c r="J234" s="174"/>
      <c r="K234" s="174"/>
      <c r="L234" s="174"/>
      <c r="M234" s="174"/>
      <c r="N234" s="174"/>
      <c r="O234" s="174"/>
      <c r="P234" s="174"/>
    </row>
    <row r="235" spans="1:16" ht="15" customHeight="1" outlineLevel="1" x14ac:dyDescent="0.35"/>
    <row r="236" spans="1:16" ht="15" customHeight="1" outlineLevel="1" x14ac:dyDescent="0.35">
      <c r="B236" s="13" t="s">
        <v>124</v>
      </c>
      <c r="F236" s="13">
        <f t="shared" ref="F236:O236" si="33">F$5</f>
        <v>2022</v>
      </c>
      <c r="G236" s="13">
        <f t="shared" si="33"/>
        <v>2023</v>
      </c>
      <c r="H236" s="13">
        <f t="shared" si="33"/>
        <v>2024</v>
      </c>
      <c r="I236" s="13">
        <f t="shared" si="33"/>
        <v>2025</v>
      </c>
      <c r="J236" s="13">
        <f t="shared" si="33"/>
        <v>2026</v>
      </c>
      <c r="K236" s="13" t="str">
        <f t="shared" si="33"/>
        <v>2027E</v>
      </c>
      <c r="L236" s="13" t="str">
        <f t="shared" si="33"/>
        <v>2028E</v>
      </c>
      <c r="M236" s="13" t="str">
        <f t="shared" si="33"/>
        <v>2029E</v>
      </c>
      <c r="N236" s="13" t="str">
        <f t="shared" si="33"/>
        <v>2030E</v>
      </c>
      <c r="O236" s="13" t="str">
        <f t="shared" si="33"/>
        <v>2031E</v>
      </c>
    </row>
    <row r="237" spans="1:16" ht="15" customHeight="1" outlineLevel="1" x14ac:dyDescent="0.35">
      <c r="B237" s="16" t="str">
        <f>B$6</f>
        <v>Model Running: Base Case Drivers</v>
      </c>
    </row>
    <row r="238" spans="1:16" ht="15" customHeight="1" outlineLevel="1" x14ac:dyDescent="0.35"/>
    <row r="239" spans="1:16" ht="15" customHeight="1" outlineLevel="1" x14ac:dyDescent="0.35"/>
    <row r="240" spans="1:16" ht="21.75" customHeight="1" x14ac:dyDescent="0.4">
      <c r="A240" s="38"/>
      <c r="B240" s="15" t="s">
        <v>321</v>
      </c>
    </row>
    <row r="241" spans="2:15" ht="15" customHeight="1" outlineLevel="1" x14ac:dyDescent="0.35"/>
    <row r="242" spans="2:15" ht="15" customHeight="1" outlineLevel="1" x14ac:dyDescent="0.4">
      <c r="B242" s="17" t="s">
        <v>322</v>
      </c>
      <c r="K242" s="51">
        <f>J82</f>
        <v>643.46</v>
      </c>
      <c r="L242" s="51">
        <f>K244</f>
        <v>9.0949470177292824E-13</v>
      </c>
      <c r="M242" s="51">
        <f>L244</f>
        <v>9.0949470177292824E-13</v>
      </c>
      <c r="N242" s="51">
        <f>M244</f>
        <v>9.0949470177292824E-13</v>
      </c>
      <c r="O242" s="51">
        <f>N244</f>
        <v>9.0949470177292824E-13</v>
      </c>
    </row>
    <row r="243" spans="2:15" ht="15" customHeight="1" outlineLevel="1" x14ac:dyDescent="0.4">
      <c r="B243" s="17" t="s">
        <v>259</v>
      </c>
      <c r="K243" s="18">
        <f>K70</f>
        <v>-643.45999999999913</v>
      </c>
      <c r="L243" s="18">
        <f>L70</f>
        <v>0</v>
      </c>
      <c r="M243" s="18">
        <f>M70</f>
        <v>0</v>
      </c>
      <c r="N243" s="18">
        <f>N70</f>
        <v>0</v>
      </c>
      <c r="O243" s="18">
        <f>O70</f>
        <v>0</v>
      </c>
    </row>
    <row r="244" spans="2:15" ht="15" customHeight="1" outlineLevel="1" x14ac:dyDescent="0.4">
      <c r="B244" s="17" t="s">
        <v>323</v>
      </c>
      <c r="K244" s="40">
        <f>SUM(K242:K243)</f>
        <v>9.0949470177292824E-13</v>
      </c>
      <c r="L244" s="40">
        <f>SUM(L242:L243)</f>
        <v>9.0949470177292824E-13</v>
      </c>
      <c r="M244" s="40">
        <f>SUM(M242:M243)</f>
        <v>9.0949470177292824E-13</v>
      </c>
      <c r="N244" s="40">
        <f>SUM(N242:N243)</f>
        <v>9.0949470177292824E-13</v>
      </c>
      <c r="O244" s="40">
        <f>SUM(O242:O243)</f>
        <v>9.0949470177292824E-13</v>
      </c>
    </row>
    <row r="245" spans="2:15" ht="15" customHeight="1" outlineLevel="1" x14ac:dyDescent="0.35"/>
    <row r="246" spans="2:15" ht="15" customHeight="1" outlineLevel="1" x14ac:dyDescent="0.4">
      <c r="B246" s="17" t="s">
        <v>324</v>
      </c>
      <c r="D246" s="36">
        <f>Inputs!$H$81</f>
        <v>0.04</v>
      </c>
    </row>
    <row r="247" spans="2:15" ht="15" customHeight="1" outlineLevel="1" x14ac:dyDescent="0.4">
      <c r="B247" s="17" t="s">
        <v>325</v>
      </c>
      <c r="K247" s="47">
        <f>K242*$D$246</f>
        <v>25.738400000000002</v>
      </c>
      <c r="L247" s="47">
        <f>L242*$D$246</f>
        <v>3.637978807091713E-14</v>
      </c>
      <c r="M247" s="47">
        <f>M242*$D$246</f>
        <v>3.637978807091713E-14</v>
      </c>
      <c r="N247" s="47">
        <f>N242*$D$246</f>
        <v>3.637978807091713E-14</v>
      </c>
      <c r="O247" s="47">
        <f>O242*$D$246</f>
        <v>3.637978807091713E-14</v>
      </c>
    </row>
    <row r="248" spans="2:15" ht="15" customHeight="1" outlineLevel="1" x14ac:dyDescent="0.4">
      <c r="B248" s="17"/>
      <c r="K248" s="18"/>
      <c r="L248" s="18"/>
      <c r="M248" s="18"/>
      <c r="N248" s="18"/>
      <c r="O248" s="18"/>
    </row>
    <row r="249" spans="2:15" ht="15" customHeight="1" outlineLevel="1" x14ac:dyDescent="0.4">
      <c r="B249" s="17"/>
      <c r="K249" s="18"/>
      <c r="L249" s="18"/>
      <c r="M249" s="18"/>
      <c r="N249" s="18"/>
      <c r="O249" s="18"/>
    </row>
    <row r="250" spans="2:15" ht="15" customHeight="1" outlineLevel="1" x14ac:dyDescent="0.4">
      <c r="B250" s="15" t="s">
        <v>326</v>
      </c>
      <c r="K250" s="41"/>
      <c r="L250" s="41"/>
      <c r="M250" s="41"/>
      <c r="N250" s="41"/>
      <c r="O250" s="41"/>
    </row>
    <row r="251" spans="2:15" ht="15" customHeight="1" outlineLevel="1" x14ac:dyDescent="0.4">
      <c r="B251" s="17"/>
      <c r="K251" s="18"/>
      <c r="L251" s="18"/>
      <c r="M251" s="18"/>
      <c r="N251" s="18"/>
      <c r="O251" s="18"/>
    </row>
    <row r="252" spans="2:15" ht="15" customHeight="1" outlineLevel="1" x14ac:dyDescent="0.4">
      <c r="B252" s="17" t="s">
        <v>322</v>
      </c>
      <c r="K252" s="18">
        <f>J100</f>
        <v>2186.2199999999998</v>
      </c>
      <c r="L252" s="18">
        <f>K254</f>
        <v>2186.2199999999998</v>
      </c>
      <c r="M252" s="18">
        <f>L254</f>
        <v>2186.2199999999998</v>
      </c>
      <c r="N252" s="18">
        <f>M254</f>
        <v>2186.2199999999998</v>
      </c>
      <c r="O252" s="18">
        <f>N254</f>
        <v>2186.2199999999998</v>
      </c>
    </row>
    <row r="253" spans="2:15" ht="15" customHeight="1" outlineLevel="1" x14ac:dyDescent="0.4">
      <c r="B253" s="17" t="s">
        <v>259</v>
      </c>
      <c r="K253" s="39">
        <v>0</v>
      </c>
      <c r="L253" s="39">
        <v>0</v>
      </c>
      <c r="M253" s="39">
        <v>0</v>
      </c>
      <c r="N253" s="39">
        <v>0</v>
      </c>
      <c r="O253" s="39">
        <v>0</v>
      </c>
    </row>
    <row r="254" spans="2:15" ht="15" customHeight="1" outlineLevel="1" x14ac:dyDescent="0.4">
      <c r="B254" s="17" t="s">
        <v>323</v>
      </c>
      <c r="K254" s="42">
        <f>SUM(K252:K253)</f>
        <v>2186.2199999999998</v>
      </c>
      <c r="L254" s="42">
        <f>SUM(L252:L253)</f>
        <v>2186.2199999999998</v>
      </c>
      <c r="M254" s="42">
        <f>SUM(M252:M253)</f>
        <v>2186.2199999999998</v>
      </c>
      <c r="N254" s="42">
        <f>SUM(N252:N253)</f>
        <v>2186.2199999999998</v>
      </c>
      <c r="O254" s="42">
        <f>SUM(O252:O253)</f>
        <v>2186.2199999999998</v>
      </c>
    </row>
    <row r="255" spans="2:15" ht="15" customHeight="1" outlineLevel="1" x14ac:dyDescent="0.35"/>
    <row r="256" spans="2:15" ht="15" customHeight="1" outlineLevel="1" x14ac:dyDescent="0.4">
      <c r="B256" s="17" t="s">
        <v>324</v>
      </c>
      <c r="K256" s="36">
        <f>Inputs!$L$56</f>
        <v>7.4999999999999997E-2</v>
      </c>
      <c r="L256" s="36">
        <f>Inputs!$L$56</f>
        <v>7.4999999999999997E-2</v>
      </c>
      <c r="M256" s="36">
        <f>Inputs!$L$56</f>
        <v>7.4999999999999997E-2</v>
      </c>
      <c r="N256" s="36">
        <f>Inputs!$L$56</f>
        <v>7.4999999999999997E-2</v>
      </c>
      <c r="O256" s="36">
        <f>Inputs!$L$56</f>
        <v>7.4999999999999997E-2</v>
      </c>
    </row>
    <row r="257" spans="1:16" ht="15" customHeight="1" outlineLevel="1" x14ac:dyDescent="0.4">
      <c r="B257" s="17" t="s">
        <v>237</v>
      </c>
      <c r="K257" s="18">
        <f>AVERAGE(K252,K254)*K256</f>
        <v>163.96649999999997</v>
      </c>
      <c r="L257" s="18">
        <f>AVERAGE(L252,L254)*L256</f>
        <v>163.96649999999997</v>
      </c>
      <c r="M257" s="18">
        <f>AVERAGE(M252,M254)*M256</f>
        <v>163.96649999999997</v>
      </c>
      <c r="N257" s="18">
        <f>AVERAGE(N252,N254)*N256</f>
        <v>163.96649999999997</v>
      </c>
      <c r="O257" s="18">
        <f>AVERAGE(O252,O254)*O256</f>
        <v>163.96649999999997</v>
      </c>
    </row>
    <row r="258" spans="1:16" ht="15" customHeight="1" outlineLevel="1" x14ac:dyDescent="0.35"/>
    <row r="259" spans="1:16" ht="15" customHeight="1" outlineLevel="1" x14ac:dyDescent="0.4">
      <c r="B259" s="17"/>
      <c r="K259" s="52"/>
      <c r="L259" s="52"/>
      <c r="M259" s="52"/>
      <c r="N259" s="52"/>
      <c r="O259" s="52"/>
    </row>
    <row r="260" spans="1:16" ht="15" customHeight="1" outlineLevel="1" x14ac:dyDescent="0.4">
      <c r="B260" s="17"/>
      <c r="K260" s="53"/>
      <c r="L260" s="53"/>
      <c r="M260" s="53"/>
      <c r="N260" s="53"/>
      <c r="O260" s="53"/>
    </row>
    <row r="261" spans="1:16" ht="15" customHeight="1" outlineLevel="1" x14ac:dyDescent="0.35">
      <c r="A261" s="1" t="s">
        <v>280</v>
      </c>
      <c r="B261" s="174" t="s">
        <v>327</v>
      </c>
      <c r="C261" s="174"/>
      <c r="D261" s="174"/>
      <c r="E261" s="174"/>
      <c r="F261" s="174"/>
      <c r="G261" s="174"/>
      <c r="H261" s="174"/>
      <c r="I261" s="174"/>
      <c r="J261" s="174"/>
      <c r="K261" s="174"/>
      <c r="L261" s="174"/>
      <c r="M261" s="174"/>
      <c r="N261" s="174"/>
      <c r="O261" s="174"/>
      <c r="P261" s="174"/>
    </row>
    <row r="262" spans="1:16" ht="15" customHeight="1" outlineLevel="1" x14ac:dyDescent="0.35"/>
    <row r="263" spans="1:16" ht="15" customHeight="1" outlineLevel="1" x14ac:dyDescent="0.35">
      <c r="B263" s="13" t="s">
        <v>124</v>
      </c>
      <c r="F263" s="13">
        <f t="shared" ref="F263:O263" si="34">F$5</f>
        <v>2022</v>
      </c>
      <c r="G263" s="13">
        <f t="shared" si="34"/>
        <v>2023</v>
      </c>
      <c r="H263" s="13">
        <f t="shared" si="34"/>
        <v>2024</v>
      </c>
      <c r="I263" s="13">
        <f t="shared" si="34"/>
        <v>2025</v>
      </c>
      <c r="J263" s="13">
        <f t="shared" si="34"/>
        <v>2026</v>
      </c>
      <c r="K263" s="13" t="str">
        <f t="shared" si="34"/>
        <v>2027E</v>
      </c>
      <c r="L263" s="13" t="str">
        <f t="shared" si="34"/>
        <v>2028E</v>
      </c>
      <c r="M263" s="13" t="str">
        <f t="shared" si="34"/>
        <v>2029E</v>
      </c>
      <c r="N263" s="13" t="str">
        <f t="shared" si="34"/>
        <v>2030E</v>
      </c>
      <c r="O263" s="13" t="str">
        <f t="shared" si="34"/>
        <v>2031E</v>
      </c>
    </row>
    <row r="264" spans="1:16" ht="15" customHeight="1" outlineLevel="1" x14ac:dyDescent="0.35">
      <c r="B264" s="16" t="str">
        <f>B$6</f>
        <v>Model Running: Base Case Drivers</v>
      </c>
    </row>
    <row r="265" spans="1:16" ht="15" customHeight="1" outlineLevel="1" x14ac:dyDescent="0.35"/>
    <row r="266" spans="1:16" ht="15" customHeight="1" outlineLevel="1" x14ac:dyDescent="0.4">
      <c r="B266" s="15"/>
      <c r="F266" s="40"/>
    </row>
    <row r="267" spans="1:16" ht="15" customHeight="1" outlineLevel="1" x14ac:dyDescent="0.4">
      <c r="B267" s="15" t="s">
        <v>328</v>
      </c>
      <c r="F267" s="18"/>
    </row>
    <row r="268" spans="1:16" ht="15" customHeight="1" outlineLevel="1" x14ac:dyDescent="0.4">
      <c r="B268" s="15"/>
      <c r="F268" s="40"/>
    </row>
    <row r="269" spans="1:16" ht="15" customHeight="1" outlineLevel="1" x14ac:dyDescent="0.4">
      <c r="B269" s="17" t="s">
        <v>329</v>
      </c>
      <c r="F269" s="22"/>
      <c r="K269" s="18">
        <f>K242</f>
        <v>643.46</v>
      </c>
      <c r="L269" s="18">
        <f>L242</f>
        <v>9.0949470177292824E-13</v>
      </c>
      <c r="M269" s="18">
        <f>M242</f>
        <v>9.0949470177292824E-13</v>
      </c>
      <c r="N269" s="18">
        <f>N242</f>
        <v>9.0949470177292824E-13</v>
      </c>
      <c r="O269" s="18">
        <f>O242</f>
        <v>9.0949470177292824E-13</v>
      </c>
    </row>
    <row r="270" spans="1:16" ht="15" customHeight="1" outlineLevel="1" x14ac:dyDescent="0.4">
      <c r="B270" s="17" t="s">
        <v>330</v>
      </c>
      <c r="F270" s="36"/>
      <c r="K270" s="18">
        <f>K52</f>
        <v>23839.923773616349</v>
      </c>
      <c r="L270" s="18">
        <f>L52</f>
        <v>26267.962006900292</v>
      </c>
      <c r="M270" s="18">
        <f>M52</f>
        <v>28693.482685192143</v>
      </c>
      <c r="N270" s="18">
        <f>N52</f>
        <v>31043.567755324082</v>
      </c>
      <c r="O270" s="18">
        <f>O52</f>
        <v>33360.84275872435</v>
      </c>
    </row>
    <row r="271" spans="1:16" ht="15" customHeight="1" outlineLevel="1" x14ac:dyDescent="0.4">
      <c r="B271" s="17" t="s">
        <v>331</v>
      </c>
      <c r="K271" s="18">
        <f>K57</f>
        <v>-6049.3076317499945</v>
      </c>
      <c r="L271" s="18">
        <f>L57</f>
        <v>-6282.1170159724979</v>
      </c>
      <c r="M271" s="18">
        <f>M57</f>
        <v>-6485.5143107607128</v>
      </c>
      <c r="N271" s="18">
        <f>N57</f>
        <v>-6655.3590363688563</v>
      </c>
      <c r="O271" s="18">
        <f>O57</f>
        <v>-6787.8640516842079</v>
      </c>
    </row>
    <row r="272" spans="1:16" ht="15" customHeight="1" outlineLevel="1" x14ac:dyDescent="0.4">
      <c r="B272" s="17" t="s">
        <v>253</v>
      </c>
      <c r="K272" s="18">
        <f>K253</f>
        <v>0</v>
      </c>
      <c r="L272" s="18">
        <f>L253</f>
        <v>0</v>
      </c>
      <c r="M272" s="18">
        <f>M253</f>
        <v>0</v>
      </c>
      <c r="N272" s="18">
        <f>N253</f>
        <v>0</v>
      </c>
      <c r="O272" s="18">
        <f>O253</f>
        <v>0</v>
      </c>
    </row>
    <row r="273" spans="2:15" ht="15" customHeight="1" outlineLevel="1" x14ac:dyDescent="0.4">
      <c r="B273" s="17" t="s">
        <v>255</v>
      </c>
      <c r="K273" s="39">
        <v>0</v>
      </c>
      <c r="L273" s="39">
        <v>0</v>
      </c>
      <c r="M273" s="39">
        <v>0</v>
      </c>
      <c r="N273" s="39">
        <v>0</v>
      </c>
      <c r="O273" s="39">
        <v>0</v>
      </c>
    </row>
    <row r="274" spans="2:15" ht="15" customHeight="1" outlineLevel="1" x14ac:dyDescent="0.4">
      <c r="B274" s="17" t="s">
        <v>256</v>
      </c>
      <c r="F274" s="40"/>
      <c r="K274" s="18">
        <f>K64</f>
        <v>-19412.641876354824</v>
      </c>
      <c r="L274" s="18">
        <f>L64</f>
        <v>-21670.445425871043</v>
      </c>
      <c r="M274" s="18">
        <f>M64</f>
        <v>-23637.523887223677</v>
      </c>
      <c r="N274" s="18">
        <f>N64</f>
        <v>-25518.009034030012</v>
      </c>
      <c r="O274" s="18">
        <f>O64</f>
        <v>-27350.455593835813</v>
      </c>
    </row>
    <row r="275" spans="2:15" ht="15" customHeight="1" outlineLevel="1" x14ac:dyDescent="0.4">
      <c r="B275" s="15" t="s">
        <v>332</v>
      </c>
      <c r="F275" s="18"/>
      <c r="K275" s="40">
        <f>SUM(K269:K274)</f>
        <v>-978.56573448847121</v>
      </c>
      <c r="L275" s="40">
        <f>SUM(L269:L274)</f>
        <v>-1684.6004349432478</v>
      </c>
      <c r="M275" s="40">
        <f>SUM(M269:M274)</f>
        <v>-1429.5555127922453</v>
      </c>
      <c r="N275" s="40">
        <f>SUM(N269:N274)</f>
        <v>-1129.8003150747863</v>
      </c>
      <c r="O275" s="40">
        <f>SUM(O269:O274)</f>
        <v>-777.47688679567</v>
      </c>
    </row>
    <row r="276" spans="2:15" ht="15" customHeight="1" outlineLevel="1" x14ac:dyDescent="0.4">
      <c r="B276" s="17"/>
      <c r="F276" s="18"/>
    </row>
    <row r="277" spans="2:15" ht="15" customHeight="1" outlineLevel="1" x14ac:dyDescent="0.4">
      <c r="B277" s="17"/>
      <c r="F277" s="18"/>
    </row>
    <row r="278" spans="2:15" ht="15" customHeight="1" outlineLevel="1" x14ac:dyDescent="0.4">
      <c r="B278" s="15" t="s">
        <v>333</v>
      </c>
      <c r="F278" s="22"/>
    </row>
    <row r="279" spans="2:15" ht="15" customHeight="1" outlineLevel="1" x14ac:dyDescent="0.4">
      <c r="B279" s="17"/>
      <c r="F279" s="18"/>
    </row>
    <row r="280" spans="2:15" ht="15" customHeight="1" outlineLevel="1" x14ac:dyDescent="0.4">
      <c r="B280" s="17" t="s">
        <v>322</v>
      </c>
      <c r="F280" s="23"/>
      <c r="K280" s="18">
        <f>J96</f>
        <v>0</v>
      </c>
      <c r="L280" s="18">
        <f>K282</f>
        <v>978.56573448847121</v>
      </c>
      <c r="M280" s="18">
        <f>L282</f>
        <v>2663.166169431719</v>
      </c>
      <c r="N280" s="18">
        <f>M282</f>
        <v>4092.7216822239643</v>
      </c>
      <c r="O280" s="18">
        <f>N282</f>
        <v>5222.5219972987506</v>
      </c>
    </row>
    <row r="281" spans="2:15" ht="15" customHeight="1" outlineLevel="1" x14ac:dyDescent="0.4">
      <c r="B281" s="17" t="s">
        <v>259</v>
      </c>
      <c r="K281" s="18">
        <f>-MIN(K275,K280)</f>
        <v>978.56573448847121</v>
      </c>
      <c r="L281" s="18">
        <f>-MIN(L275,L280)</f>
        <v>1684.6004349432478</v>
      </c>
      <c r="M281" s="18">
        <f>-MIN(M275,M280)</f>
        <v>1429.5555127922453</v>
      </c>
      <c r="N281" s="18">
        <f>-MIN(N275,N280)</f>
        <v>1129.8003150747863</v>
      </c>
      <c r="O281" s="18">
        <f>-MIN(O275,O280)</f>
        <v>777.47688679567</v>
      </c>
    </row>
    <row r="282" spans="2:15" ht="15" customHeight="1" outlineLevel="1" x14ac:dyDescent="0.4">
      <c r="B282" s="17" t="s">
        <v>323</v>
      </c>
      <c r="K282" s="40">
        <f>SUM(K280:K281)</f>
        <v>978.56573448847121</v>
      </c>
      <c r="L282" s="40">
        <f>SUM(L280:L281)</f>
        <v>2663.166169431719</v>
      </c>
      <c r="M282" s="40">
        <f>SUM(M280:M281)</f>
        <v>4092.7216822239643</v>
      </c>
      <c r="N282" s="40">
        <f>SUM(N280:N281)</f>
        <v>5222.5219972987506</v>
      </c>
      <c r="O282" s="40">
        <f>SUM(O280:O281)</f>
        <v>5999.9988840944206</v>
      </c>
    </row>
    <row r="283" spans="2:15" ht="15" customHeight="1" outlineLevel="1" x14ac:dyDescent="0.4">
      <c r="B283" s="15"/>
    </row>
    <row r="284" spans="2:15" ht="15" customHeight="1" outlineLevel="1" x14ac:dyDescent="0.4">
      <c r="B284" s="17" t="s">
        <v>324</v>
      </c>
      <c r="D284" s="36">
        <f>Inputs!$H$82</f>
        <v>0.09</v>
      </c>
    </row>
    <row r="285" spans="2:15" ht="15" customHeight="1" outlineLevel="1" x14ac:dyDescent="0.4">
      <c r="B285" s="17" t="s">
        <v>237</v>
      </c>
      <c r="F285" s="26"/>
      <c r="K285" s="18">
        <f>K280*$D$284</f>
        <v>0</v>
      </c>
      <c r="L285" s="18">
        <f>L280*$D$284</f>
        <v>88.070916103962404</v>
      </c>
      <c r="M285" s="18">
        <f>M280*$D$284</f>
        <v>239.68495524885469</v>
      </c>
      <c r="N285" s="18">
        <f>N280*$D$284</f>
        <v>368.34495140015679</v>
      </c>
      <c r="O285" s="18">
        <f>O280*$D$284</f>
        <v>470.02697975688756</v>
      </c>
    </row>
    <row r="286" spans="2:15" ht="15" customHeight="1" outlineLevel="1" x14ac:dyDescent="0.4">
      <c r="B286" s="20"/>
      <c r="F286" s="24"/>
    </row>
    <row r="287" spans="2:15" ht="15" customHeight="1" outlineLevel="1" x14ac:dyDescent="0.4">
      <c r="B287" s="17"/>
      <c r="F287" s="54"/>
    </row>
    <row r="288" spans="2:15" ht="15" customHeight="1" outlineLevel="1" x14ac:dyDescent="0.4">
      <c r="B288" s="15" t="s">
        <v>334</v>
      </c>
    </row>
    <row r="289" spans="1:16" ht="15" customHeight="1" outlineLevel="1" x14ac:dyDescent="0.35"/>
    <row r="290" spans="1:16" ht="15" customHeight="1" outlineLevel="1" x14ac:dyDescent="0.4">
      <c r="B290" s="17" t="s">
        <v>335</v>
      </c>
      <c r="K290" s="18">
        <f>K257</f>
        <v>163.96649999999997</v>
      </c>
      <c r="L290" s="18">
        <f>L257</f>
        <v>163.96649999999997</v>
      </c>
      <c r="M290" s="18">
        <f>M257</f>
        <v>163.96649999999997</v>
      </c>
      <c r="N290" s="18">
        <f>N257</f>
        <v>163.96649999999997</v>
      </c>
      <c r="O290" s="18">
        <f>O257</f>
        <v>163.96649999999997</v>
      </c>
    </row>
    <row r="291" spans="1:16" ht="15" customHeight="1" outlineLevel="1" x14ac:dyDescent="0.4">
      <c r="B291" s="17" t="s">
        <v>336</v>
      </c>
      <c r="K291" s="18">
        <f>K285</f>
        <v>0</v>
      </c>
      <c r="L291" s="18">
        <f>L285</f>
        <v>88.070916103962404</v>
      </c>
      <c r="M291" s="18">
        <f>M285</f>
        <v>239.68495524885469</v>
      </c>
      <c r="N291" s="18">
        <f>N285</f>
        <v>368.34495140015679</v>
      </c>
      <c r="O291" s="18">
        <f>O285</f>
        <v>470.02697975688756</v>
      </c>
    </row>
    <row r="292" spans="1:16" ht="15" customHeight="1" outlineLevel="1" x14ac:dyDescent="0.4">
      <c r="B292" s="15" t="s">
        <v>337</v>
      </c>
      <c r="K292" s="40">
        <f>SUM(K290:K291)</f>
        <v>163.96649999999997</v>
      </c>
      <c r="L292" s="40">
        <f>SUM(L290:L291)</f>
        <v>252.03741610396236</v>
      </c>
      <c r="M292" s="40">
        <f>SUM(M290:M291)</f>
        <v>403.65145524885463</v>
      </c>
      <c r="N292" s="40">
        <f>SUM(N290:N291)</f>
        <v>532.31145140015678</v>
      </c>
      <c r="O292" s="40">
        <f>SUM(O290:O291)</f>
        <v>633.9934797568875</v>
      </c>
    </row>
    <row r="293" spans="1:16" ht="15" customHeight="1" outlineLevel="1" x14ac:dyDescent="0.4">
      <c r="B293" s="15"/>
      <c r="D293" s="55"/>
      <c r="F293" s="55"/>
      <c r="H293" s="55"/>
      <c r="J293" s="55"/>
      <c r="L293" s="55"/>
    </row>
    <row r="294" spans="1:16" ht="15" customHeight="1" outlineLevel="1" x14ac:dyDescent="0.4">
      <c r="B294" s="13" t="s">
        <v>338</v>
      </c>
      <c r="D294" s="26"/>
      <c r="F294" s="26"/>
      <c r="H294" s="26"/>
      <c r="J294" s="26"/>
      <c r="L294" s="26"/>
    </row>
    <row r="295" spans="1:16" ht="15" customHeight="1" outlineLevel="1" x14ac:dyDescent="0.4">
      <c r="B295" s="35"/>
      <c r="D295" s="26"/>
      <c r="F295" s="26"/>
      <c r="H295" s="26"/>
      <c r="J295" s="26"/>
      <c r="L295" s="26"/>
    </row>
    <row r="296" spans="1:16" ht="15" customHeight="1" outlineLevel="1" x14ac:dyDescent="0.35">
      <c r="A296" s="1" t="s">
        <v>280</v>
      </c>
      <c r="B296" s="174" t="s">
        <v>339</v>
      </c>
      <c r="C296" s="174"/>
      <c r="D296" s="174"/>
      <c r="E296" s="174"/>
      <c r="F296" s="174"/>
      <c r="G296" s="174"/>
      <c r="H296" s="174"/>
      <c r="I296" s="174"/>
      <c r="J296" s="174"/>
      <c r="K296" s="174"/>
      <c r="L296" s="174"/>
      <c r="M296" s="174"/>
      <c r="N296" s="174"/>
      <c r="O296" s="174"/>
      <c r="P296" s="174"/>
    </row>
    <row r="297" spans="1:16" ht="15" customHeight="1" outlineLevel="1" x14ac:dyDescent="0.4">
      <c r="B297" s="35"/>
      <c r="D297" s="26"/>
      <c r="F297" s="26"/>
      <c r="H297" s="26"/>
      <c r="J297" s="26"/>
      <c r="L297" s="26"/>
    </row>
    <row r="298" spans="1:16" ht="15" customHeight="1" outlineLevel="1" x14ac:dyDescent="0.4">
      <c r="B298" s="13" t="s">
        <v>124</v>
      </c>
      <c r="D298" s="26"/>
      <c r="F298" s="13">
        <f t="shared" ref="F298:O298" si="35">F$5</f>
        <v>2022</v>
      </c>
      <c r="G298" s="13">
        <f t="shared" si="35"/>
        <v>2023</v>
      </c>
      <c r="H298" s="13">
        <f t="shared" si="35"/>
        <v>2024</v>
      </c>
      <c r="I298" s="13">
        <f t="shared" si="35"/>
        <v>2025</v>
      </c>
      <c r="J298" s="13">
        <f t="shared" si="35"/>
        <v>2026</v>
      </c>
      <c r="K298" s="13" t="str">
        <f t="shared" si="35"/>
        <v>2027E</v>
      </c>
      <c r="L298" s="56" t="str">
        <f t="shared" si="35"/>
        <v>2028E</v>
      </c>
      <c r="M298" s="13" t="str">
        <f t="shared" si="35"/>
        <v>2029E</v>
      </c>
      <c r="N298" s="13" t="str">
        <f t="shared" si="35"/>
        <v>2030E</v>
      </c>
      <c r="O298" s="13" t="str">
        <f t="shared" si="35"/>
        <v>2031E</v>
      </c>
    </row>
    <row r="299" spans="1:16" ht="15" customHeight="1" x14ac:dyDescent="0.35">
      <c r="B299" s="16" t="str">
        <f>B$6</f>
        <v>Model Running: Base Case Drivers</v>
      </c>
    </row>
    <row r="302" spans="1:16" ht="15" customHeight="1" x14ac:dyDescent="0.4">
      <c r="B302" s="15" t="s">
        <v>340</v>
      </c>
    </row>
    <row r="304" spans="1:16" ht="15" customHeight="1" x14ac:dyDescent="0.4">
      <c r="B304" s="17" t="s">
        <v>322</v>
      </c>
      <c r="K304" s="18">
        <f>J106</f>
        <v>1252.95</v>
      </c>
      <c r="L304" s="18">
        <f>K306</f>
        <v>1252.95</v>
      </c>
      <c r="M304" s="18">
        <f>L306</f>
        <v>1252.95</v>
      </c>
      <c r="N304" s="18">
        <f>M306</f>
        <v>1252.95</v>
      </c>
      <c r="O304" s="18">
        <f>N306</f>
        <v>1252.95</v>
      </c>
    </row>
    <row r="305" spans="1:16" ht="15" customHeight="1" x14ac:dyDescent="0.4">
      <c r="B305" s="17" t="s">
        <v>259</v>
      </c>
      <c r="K305" s="39">
        <v>0</v>
      </c>
      <c r="L305" s="39">
        <v>0</v>
      </c>
      <c r="M305" s="39">
        <v>0</v>
      </c>
      <c r="N305" s="39">
        <v>0</v>
      </c>
      <c r="O305" s="39">
        <v>0</v>
      </c>
    </row>
    <row r="306" spans="1:16" ht="15" customHeight="1" x14ac:dyDescent="0.4">
      <c r="B306" s="17" t="s">
        <v>323</v>
      </c>
      <c r="K306" s="40">
        <f>SUM(K304:K305)</f>
        <v>1252.95</v>
      </c>
      <c r="L306" s="40">
        <f>SUM(L304:L305)</f>
        <v>1252.95</v>
      </c>
      <c r="M306" s="40">
        <f>SUM(M304:M305)</f>
        <v>1252.95</v>
      </c>
      <c r="N306" s="40">
        <f>SUM(N304:N305)</f>
        <v>1252.95</v>
      </c>
      <c r="O306" s="40">
        <f>SUM(O304:O305)</f>
        <v>1252.95</v>
      </c>
    </row>
    <row r="309" spans="1:16" ht="15" customHeight="1" x14ac:dyDescent="0.4">
      <c r="B309" s="15" t="s">
        <v>341</v>
      </c>
    </row>
    <row r="310" spans="1:16" ht="15" customHeight="1" x14ac:dyDescent="0.4">
      <c r="B310" s="17" t="s">
        <v>322</v>
      </c>
      <c r="K310" s="18">
        <f>J107</f>
        <v>71620.070000000007</v>
      </c>
      <c r="L310" s="18">
        <f>K313</f>
        <v>74267.248437684757</v>
      </c>
      <c r="M310" s="18">
        <f>L313</f>
        <v>77222.309177576259</v>
      </c>
      <c r="N310" s="18">
        <f>M313</f>
        <v>80445.607889470397</v>
      </c>
      <c r="O310" s="18">
        <f>N313</f>
        <v>83925.336394110855</v>
      </c>
    </row>
    <row r="311" spans="1:16" ht="15" customHeight="1" x14ac:dyDescent="0.4">
      <c r="B311" s="17" t="s">
        <v>140</v>
      </c>
      <c r="K311" s="18">
        <f>K35</f>
        <v>22059.820314039574</v>
      </c>
      <c r="L311" s="18">
        <f>L35</f>
        <v>24625.506165762548</v>
      </c>
      <c r="M311" s="18">
        <f>M35</f>
        <v>26860.822599117815</v>
      </c>
      <c r="N311" s="18">
        <f>N35</f>
        <v>28997.737538670466</v>
      </c>
      <c r="O311" s="18">
        <f>O35</f>
        <v>31080.063174813426</v>
      </c>
    </row>
    <row r="312" spans="1:16" ht="15" customHeight="1" x14ac:dyDescent="0.4">
      <c r="B312" s="17" t="s">
        <v>256</v>
      </c>
      <c r="K312" s="18">
        <f>K64</f>
        <v>-19412.641876354824</v>
      </c>
      <c r="L312" s="18">
        <f>L64</f>
        <v>-21670.445425871043</v>
      </c>
      <c r="M312" s="18">
        <f>M64</f>
        <v>-23637.523887223677</v>
      </c>
      <c r="N312" s="18">
        <f>N64</f>
        <v>-25518.009034030012</v>
      </c>
      <c r="O312" s="18">
        <f>O64</f>
        <v>-27350.455593835813</v>
      </c>
    </row>
    <row r="313" spans="1:16" ht="15" customHeight="1" x14ac:dyDescent="0.4">
      <c r="B313" s="15" t="s">
        <v>323</v>
      </c>
      <c r="K313" s="40">
        <f>SUM(K310:K312)</f>
        <v>74267.248437684757</v>
      </c>
      <c r="L313" s="40">
        <f>SUM(L310:L312)</f>
        <v>77222.309177576259</v>
      </c>
      <c r="M313" s="40">
        <f>SUM(M310:M312)</f>
        <v>80445.607889470397</v>
      </c>
      <c r="N313" s="40">
        <f>SUM(N310:N312)</f>
        <v>83925.336394110855</v>
      </c>
      <c r="O313" s="40">
        <f>SUM(O310:O312)</f>
        <v>87654.943975088463</v>
      </c>
    </row>
    <row r="315" spans="1:16" ht="15" customHeight="1" x14ac:dyDescent="0.4">
      <c r="B315" s="17" t="s">
        <v>342</v>
      </c>
      <c r="K315" s="19">
        <f>IF(K311=0,0,-K312/K311)</f>
        <v>0.88</v>
      </c>
      <c r="L315" s="19">
        <f>IF(L311=0,0,-L312/L311)</f>
        <v>0.88</v>
      </c>
      <c r="M315" s="19">
        <f>IF(M311=0,0,-M312/M311)</f>
        <v>0.88</v>
      </c>
      <c r="N315" s="19">
        <f>IF(N311=0,0,-N312/N311)</f>
        <v>0.88000000000000012</v>
      </c>
      <c r="O315" s="19">
        <f>IF(O311=0,0,-O312/O311)</f>
        <v>0.88</v>
      </c>
    </row>
    <row r="320" spans="1:16" ht="17.25" customHeight="1" x14ac:dyDescent="0.35">
      <c r="A320" s="1" t="s">
        <v>280</v>
      </c>
      <c r="B320" s="174" t="s">
        <v>343</v>
      </c>
      <c r="C320" s="174"/>
      <c r="D320" s="174"/>
      <c r="E320" s="174"/>
      <c r="F320" s="174"/>
      <c r="G320" s="174"/>
      <c r="H320" s="174"/>
      <c r="I320" s="174"/>
      <c r="J320" s="174"/>
      <c r="K320" s="174"/>
      <c r="L320" s="174"/>
      <c r="M320" s="174"/>
      <c r="N320" s="174"/>
      <c r="O320" s="174"/>
      <c r="P320" s="174"/>
    </row>
    <row r="322" spans="2:15" ht="15" customHeight="1" x14ac:dyDescent="0.35">
      <c r="B322" s="13" t="s">
        <v>124</v>
      </c>
      <c r="F322" s="13">
        <f t="shared" ref="F322:O322" si="36">F$5</f>
        <v>2022</v>
      </c>
      <c r="G322" s="13">
        <f t="shared" si="36"/>
        <v>2023</v>
      </c>
      <c r="H322" s="13">
        <f t="shared" si="36"/>
        <v>2024</v>
      </c>
      <c r="I322" s="13">
        <f t="shared" si="36"/>
        <v>2025</v>
      </c>
      <c r="J322" s="13">
        <f t="shared" si="36"/>
        <v>2026</v>
      </c>
      <c r="K322" s="13" t="str">
        <f t="shared" si="36"/>
        <v>2027E</v>
      </c>
      <c r="L322" s="13" t="str">
        <f t="shared" si="36"/>
        <v>2028E</v>
      </c>
      <c r="M322" s="13" t="str">
        <f t="shared" si="36"/>
        <v>2029E</v>
      </c>
      <c r="N322" s="13" t="str">
        <f t="shared" si="36"/>
        <v>2030E</v>
      </c>
      <c r="O322" s="13" t="str">
        <f t="shared" si="36"/>
        <v>2031E</v>
      </c>
    </row>
    <row r="323" spans="2:15" ht="15" customHeight="1" x14ac:dyDescent="0.35">
      <c r="B323" s="16" t="str">
        <f>B$6</f>
        <v>Model Running: Base Case Drivers</v>
      </c>
    </row>
    <row r="325" spans="2:15" ht="15" customHeight="1" x14ac:dyDescent="0.4">
      <c r="B325" s="17" t="s">
        <v>344</v>
      </c>
      <c r="K325" s="52">
        <f>IF(K338&gt;0,1,0)</f>
        <v>1</v>
      </c>
      <c r="L325" s="52">
        <f>IF(L338&gt;0,1,0)</f>
        <v>1</v>
      </c>
      <c r="M325" s="52">
        <f>IF(M338&gt;0,1,0)</f>
        <v>1</v>
      </c>
      <c r="N325" s="52">
        <f>IF(N338&gt;0,1,0)</f>
        <v>1</v>
      </c>
      <c r="O325" s="52">
        <f>IF(O338&gt;0,1,0)</f>
        <v>1</v>
      </c>
    </row>
    <row r="326" spans="2:15" ht="15" customHeight="1" x14ac:dyDescent="0.4">
      <c r="B326" s="17" t="s">
        <v>345</v>
      </c>
      <c r="K326" s="18">
        <f>K27</f>
        <v>29479.126996524981</v>
      </c>
      <c r="L326" s="18">
        <f>L27</f>
        <v>32907.721517215294</v>
      </c>
      <c r="M326" s="18">
        <f>M27</f>
        <v>35894.834561575015</v>
      </c>
      <c r="N326" s="18">
        <f>N27</f>
        <v>38750.45106193937</v>
      </c>
      <c r="O326" s="18">
        <f>O27</f>
        <v>41533.118418341655</v>
      </c>
    </row>
    <row r="328" spans="2:15" ht="15" customHeight="1" x14ac:dyDescent="0.4">
      <c r="B328" s="17" t="s">
        <v>194</v>
      </c>
      <c r="D328" s="36">
        <f>Inputs!$L$49</f>
        <v>0.25168000000000001</v>
      </c>
    </row>
    <row r="329" spans="2:15" ht="15" customHeight="1" x14ac:dyDescent="0.4">
      <c r="B329" s="17" t="s">
        <v>223</v>
      </c>
      <c r="D329" s="36">
        <f>Inputs!$H$77</f>
        <v>0.15</v>
      </c>
    </row>
    <row r="330" spans="2:15" ht="15" customHeight="1" x14ac:dyDescent="0.4">
      <c r="B330" s="17" t="s">
        <v>346</v>
      </c>
      <c r="D330" s="36">
        <f>Inputs!$H$76</f>
        <v>0.5</v>
      </c>
    </row>
    <row r="333" spans="2:15" ht="15" customHeight="1" x14ac:dyDescent="0.4">
      <c r="B333" s="15" t="s">
        <v>347</v>
      </c>
    </row>
    <row r="335" spans="2:15" ht="15" customHeight="1" x14ac:dyDescent="0.4">
      <c r="B335" s="17" t="s">
        <v>238</v>
      </c>
      <c r="K335" s="18">
        <f>K326</f>
        <v>29479.126996524981</v>
      </c>
      <c r="L335" s="18">
        <f>L326</f>
        <v>32907.721517215294</v>
      </c>
      <c r="M335" s="18">
        <f>M326</f>
        <v>35894.834561575015</v>
      </c>
      <c r="N335" s="18">
        <f>N326</f>
        <v>38750.45106193937</v>
      </c>
      <c r="O335" s="18">
        <f>O326</f>
        <v>41533.118418341655</v>
      </c>
    </row>
    <row r="336" spans="2:15" ht="15" customHeight="1" x14ac:dyDescent="0.4">
      <c r="B336" s="17" t="s">
        <v>348</v>
      </c>
      <c r="K336" s="18">
        <f>K226</f>
        <v>1577.062512725</v>
      </c>
      <c r="L336" s="18">
        <f>L226</f>
        <v>1797.1501140657501</v>
      </c>
      <c r="M336" s="18">
        <f>M226</f>
        <v>2032.0750220572736</v>
      </c>
      <c r="N336" s="18">
        <f>N226</f>
        <v>2281.6642499713676</v>
      </c>
      <c r="O336" s="18">
        <f>O226</f>
        <v>2545.5866845176156</v>
      </c>
    </row>
    <row r="337" spans="2:15" ht="15" customHeight="1" x14ac:dyDescent="0.4">
      <c r="B337" s="17" t="s">
        <v>349</v>
      </c>
      <c r="K337" s="18">
        <f>K360</f>
        <v>-3217.4741536312499</v>
      </c>
      <c r="L337" s="18">
        <f>L360</f>
        <v>-3230.0501336032503</v>
      </c>
      <c r="M337" s="18">
        <f>M360</f>
        <v>-3274.1236565436907</v>
      </c>
      <c r="N337" s="18">
        <f>N360</f>
        <v>-3344.5808708688478</v>
      </c>
      <c r="O337" s="18">
        <f>O360</f>
        <v>-3436.7192179675785</v>
      </c>
    </row>
    <row r="338" spans="2:15" ht="15" customHeight="1" x14ac:dyDescent="0.4">
      <c r="B338" s="15" t="s">
        <v>350</v>
      </c>
      <c r="K338" s="40">
        <f>SUM(K335:K337)</f>
        <v>27838.71535561873</v>
      </c>
      <c r="L338" s="40">
        <f>SUM(L335:L337)</f>
        <v>31474.821497677793</v>
      </c>
      <c r="M338" s="40">
        <f>SUM(M335:M337)</f>
        <v>34652.785927088597</v>
      </c>
      <c r="N338" s="40">
        <f>SUM(N335:N337)</f>
        <v>37687.534441041891</v>
      </c>
      <c r="O338" s="40">
        <f>SUM(O335:O337)</f>
        <v>40641.985884891692</v>
      </c>
    </row>
    <row r="341" spans="2:15" ht="15" customHeight="1" x14ac:dyDescent="0.4">
      <c r="B341" s="15" t="s">
        <v>351</v>
      </c>
    </row>
    <row r="343" spans="2:15" ht="15" customHeight="1" x14ac:dyDescent="0.4">
      <c r="B343" s="17" t="s">
        <v>350</v>
      </c>
      <c r="K343" s="18">
        <f>K338</f>
        <v>27838.71535561873</v>
      </c>
      <c r="L343" s="18">
        <f>L338</f>
        <v>31474.821497677793</v>
      </c>
      <c r="M343" s="18">
        <f>M338</f>
        <v>34652.785927088597</v>
      </c>
      <c r="N343" s="18">
        <f>N338</f>
        <v>37687.534441041891</v>
      </c>
      <c r="O343" s="18">
        <f>O338</f>
        <v>40641.985884891692</v>
      </c>
    </row>
    <row r="344" spans="2:15" ht="15" customHeight="1" x14ac:dyDescent="0.4">
      <c r="B344" s="17" t="s">
        <v>352</v>
      </c>
      <c r="K344" s="18">
        <f>K352</f>
        <v>0</v>
      </c>
      <c r="L344" s="18">
        <f>L352</f>
        <v>0</v>
      </c>
      <c r="M344" s="18">
        <f>M352</f>
        <v>0</v>
      </c>
      <c r="N344" s="18">
        <f>N352</f>
        <v>0</v>
      </c>
      <c r="O344" s="18">
        <f>O352</f>
        <v>0</v>
      </c>
    </row>
    <row r="345" spans="2:15" ht="15" customHeight="1" x14ac:dyDescent="0.4">
      <c r="B345" s="15" t="s">
        <v>353</v>
      </c>
      <c r="K345" s="40">
        <f>MAX(SUM(K343:K344),0)</f>
        <v>27838.71535561873</v>
      </c>
      <c r="L345" s="40">
        <f>MAX(SUM(L343:L344),0)</f>
        <v>31474.821497677793</v>
      </c>
      <c r="M345" s="40">
        <f>MAX(SUM(M343:M344),0)</f>
        <v>34652.785927088597</v>
      </c>
      <c r="N345" s="40">
        <f>MAX(SUM(N343:N344),0)</f>
        <v>37687.534441041891</v>
      </c>
      <c r="O345" s="40">
        <f>MAX(SUM(O343:O344),0)</f>
        <v>40641.985884891692</v>
      </c>
    </row>
    <row r="348" spans="2:15" ht="15" customHeight="1" x14ac:dyDescent="0.4">
      <c r="B348" s="15" t="s">
        <v>354</v>
      </c>
    </row>
    <row r="350" spans="2:15" ht="15" customHeight="1" x14ac:dyDescent="0.4">
      <c r="B350" s="17" t="s">
        <v>355</v>
      </c>
      <c r="K350" s="39">
        <v>0</v>
      </c>
      <c r="L350" s="18">
        <f>K353</f>
        <v>0</v>
      </c>
      <c r="M350" s="18">
        <f>L353</f>
        <v>0</v>
      </c>
      <c r="N350" s="18">
        <f>M353</f>
        <v>0</v>
      </c>
      <c r="O350" s="18">
        <f>N353</f>
        <v>0</v>
      </c>
    </row>
    <row r="351" spans="2:15" ht="15" customHeight="1" x14ac:dyDescent="0.4">
      <c r="B351" s="17" t="s">
        <v>356</v>
      </c>
      <c r="K351" s="18">
        <f>-MIN(K335,0)</f>
        <v>0</v>
      </c>
      <c r="L351" s="18">
        <f>-MIN(L335,0)</f>
        <v>0</v>
      </c>
      <c r="M351" s="18">
        <f>-MIN(M335,0)</f>
        <v>0</v>
      </c>
      <c r="N351" s="18">
        <f>-MIN(N335,0)</f>
        <v>0</v>
      </c>
      <c r="O351" s="18">
        <f>-MIN(O335,0)</f>
        <v>0</v>
      </c>
    </row>
    <row r="352" spans="2:15" ht="15" customHeight="1" x14ac:dyDescent="0.4">
      <c r="B352" s="17" t="s">
        <v>352</v>
      </c>
      <c r="K352" s="18">
        <f>-MIN(K350,K343)*K325</f>
        <v>0</v>
      </c>
      <c r="L352" s="18">
        <f>-MIN(L350,L343)*L325</f>
        <v>0</v>
      </c>
      <c r="M352" s="18">
        <f>-MIN(M350,M343)*M325</f>
        <v>0</v>
      </c>
      <c r="N352" s="18">
        <f>-MIN(N350,N343)*N325</f>
        <v>0</v>
      </c>
      <c r="O352" s="18">
        <f>-MIN(O350,O343)*O325</f>
        <v>0</v>
      </c>
    </row>
    <row r="353" spans="2:15" ht="15" customHeight="1" x14ac:dyDescent="0.4">
      <c r="B353" s="17" t="s">
        <v>357</v>
      </c>
      <c r="K353" s="40">
        <f>SUM(K350:K352)</f>
        <v>0</v>
      </c>
      <c r="L353" s="40">
        <f>SUM(L350:L352)</f>
        <v>0</v>
      </c>
      <c r="M353" s="40">
        <f>SUM(M350:M352)</f>
        <v>0</v>
      </c>
      <c r="N353" s="40">
        <f>SUM(N350:N352)</f>
        <v>0</v>
      </c>
      <c r="O353" s="40">
        <f>SUM(O350:O352)</f>
        <v>0</v>
      </c>
    </row>
    <row r="356" spans="2:15" ht="15" customHeight="1" x14ac:dyDescent="0.4">
      <c r="B356" s="15" t="s">
        <v>358</v>
      </c>
    </row>
    <row r="358" spans="2:15" ht="15" customHeight="1" x14ac:dyDescent="0.4">
      <c r="B358" s="17" t="s">
        <v>355</v>
      </c>
      <c r="K358" s="18">
        <f>$J$205</f>
        <v>19854.990000000002</v>
      </c>
      <c r="L358" s="18">
        <f>K361</f>
        <v>19827.191228118751</v>
      </c>
      <c r="M358" s="18">
        <f>L361</f>
        <v>20010.093752987999</v>
      </c>
      <c r="N358" s="18">
        <f>M361</f>
        <v>20370.764677717518</v>
      </c>
      <c r="O358" s="18">
        <f>N361</f>
        <v>20879.066062998274</v>
      </c>
    </row>
    <row r="359" spans="2:15" ht="15" customHeight="1" x14ac:dyDescent="0.4">
      <c r="B359" s="17" t="s">
        <v>251</v>
      </c>
      <c r="K359" s="18">
        <f>K203</f>
        <v>3189.6753817499998</v>
      </c>
      <c r="L359" s="18">
        <f>L203</f>
        <v>3412.9526584724999</v>
      </c>
      <c r="M359" s="18">
        <f>M203</f>
        <v>3634.7945812732123</v>
      </c>
      <c r="N359" s="18">
        <f>N203</f>
        <v>3852.8822561496049</v>
      </c>
      <c r="O359" s="18">
        <f>O203</f>
        <v>4064.790780237834</v>
      </c>
    </row>
    <row r="360" spans="2:15" ht="15" customHeight="1" x14ac:dyDescent="0.4">
      <c r="B360" s="17" t="s">
        <v>359</v>
      </c>
      <c r="K360" s="18">
        <f>-(K358+K359*$D$330)*$D$329</f>
        <v>-3217.4741536312499</v>
      </c>
      <c r="L360" s="18">
        <f>-(L358+L359*$D$330)*$D$329</f>
        <v>-3230.0501336032503</v>
      </c>
      <c r="M360" s="18">
        <f>-(M358+M359*$D$330)*$D$329</f>
        <v>-3274.1236565436907</v>
      </c>
      <c r="N360" s="18">
        <f>-(N358+N359*$D$330)*$D$329</f>
        <v>-3344.5808708688478</v>
      </c>
      <c r="O360" s="18">
        <f>-(O358+O359*$D$330)*$D$329</f>
        <v>-3436.7192179675785</v>
      </c>
    </row>
    <row r="361" spans="2:15" ht="15" customHeight="1" x14ac:dyDescent="0.4">
      <c r="B361" s="17" t="s">
        <v>357</v>
      </c>
      <c r="K361" s="40">
        <f>SUM(K358:K360)</f>
        <v>19827.191228118751</v>
      </c>
      <c r="L361" s="40">
        <f>SUM(L358:L360)</f>
        <v>20010.093752987999</v>
      </c>
      <c r="M361" s="40">
        <f>SUM(M358:M360)</f>
        <v>20370.764677717518</v>
      </c>
      <c r="N361" s="40">
        <f>SUM(N358:N360)</f>
        <v>20879.066062998274</v>
      </c>
      <c r="O361" s="40">
        <f>SUM(O358:O360)</f>
        <v>21507.13762526853</v>
      </c>
    </row>
    <row r="364" spans="2:15" ht="15" customHeight="1" x14ac:dyDescent="0.4">
      <c r="B364" s="15" t="s">
        <v>360</v>
      </c>
    </row>
    <row r="366" spans="2:15" ht="15" customHeight="1" x14ac:dyDescent="0.4">
      <c r="B366" s="17" t="s">
        <v>361</v>
      </c>
      <c r="K366" s="18">
        <f>MAX($D$328*K335,0)</f>
        <v>7419.3066824854077</v>
      </c>
      <c r="L366" s="18">
        <f>MAX($D$328*L335,0)</f>
        <v>8282.2153514527454</v>
      </c>
      <c r="M366" s="18">
        <f>MAX($D$328*M335,0)</f>
        <v>9034.0119624571998</v>
      </c>
      <c r="N366" s="18">
        <f>MAX($D$328*N335,0)</f>
        <v>9752.7135232689016</v>
      </c>
      <c r="O366" s="18">
        <f>MAX($D$328*O335,0)</f>
        <v>10453.055243528228</v>
      </c>
    </row>
    <row r="367" spans="2:15" ht="15" customHeight="1" x14ac:dyDescent="0.4">
      <c r="B367" s="17" t="s">
        <v>362</v>
      </c>
      <c r="K367" s="18">
        <f>$D$328*K345</f>
        <v>7006.4478807021223</v>
      </c>
      <c r="L367" s="18">
        <f>$D$328*L345</f>
        <v>7921.583074535547</v>
      </c>
      <c r="M367" s="18">
        <f>$D$328*M345</f>
        <v>8721.4131621296583</v>
      </c>
      <c r="N367" s="18">
        <f>$D$328*N345</f>
        <v>9485.1986681214239</v>
      </c>
      <c r="O367" s="18">
        <f>$D$328*O345</f>
        <v>10228.775007509541</v>
      </c>
    </row>
    <row r="368" spans="2:15" ht="15" customHeight="1" x14ac:dyDescent="0.4">
      <c r="B368" s="17" t="s">
        <v>245</v>
      </c>
      <c r="K368" s="18">
        <f>K366-K367</f>
        <v>412.85880178328534</v>
      </c>
      <c r="L368" s="18">
        <f>L366-L367</f>
        <v>360.6322769171984</v>
      </c>
      <c r="M368" s="18">
        <f>M366-M367</f>
        <v>312.59880032754154</v>
      </c>
      <c r="N368" s="18">
        <f>N366-N367</f>
        <v>267.51485514747765</v>
      </c>
      <c r="O368" s="18">
        <f>O366-O367</f>
        <v>224.28023601868699</v>
      </c>
    </row>
    <row r="370" spans="1:16" ht="15" customHeight="1" x14ac:dyDescent="0.35">
      <c r="B370" s="13" t="s">
        <v>363</v>
      </c>
    </row>
    <row r="376" spans="1:16" ht="17.25" customHeight="1" x14ac:dyDescent="0.35">
      <c r="A376" s="1" t="s">
        <v>280</v>
      </c>
      <c r="B376" s="174" t="s">
        <v>364</v>
      </c>
      <c r="C376" s="174"/>
      <c r="D376" s="174"/>
      <c r="E376" s="174"/>
      <c r="F376" s="174"/>
      <c r="G376" s="174"/>
      <c r="H376" s="174"/>
      <c r="I376" s="174"/>
      <c r="J376" s="174"/>
      <c r="K376" s="174"/>
      <c r="L376" s="174"/>
      <c r="M376" s="174"/>
      <c r="N376" s="174"/>
      <c r="O376" s="174"/>
      <c r="P376" s="174"/>
    </row>
    <row r="378" spans="1:16" ht="15" customHeight="1" x14ac:dyDescent="0.35">
      <c r="B378" s="13" t="s">
        <v>365</v>
      </c>
      <c r="K378" s="1" t="s">
        <v>130</v>
      </c>
      <c r="L378" s="1" t="s">
        <v>131</v>
      </c>
      <c r="M378" s="1" t="s">
        <v>132</v>
      </c>
      <c r="N378" s="1" t="s">
        <v>133</v>
      </c>
      <c r="O378" s="1" t="s">
        <v>134</v>
      </c>
    </row>
    <row r="379" spans="1:16" ht="15" customHeight="1" x14ac:dyDescent="0.35">
      <c r="B379" s="16" t="str">
        <f>B$6</f>
        <v>Model Running: Base Case Drivers</v>
      </c>
    </row>
    <row r="382" spans="1:16" ht="15" customHeight="1" x14ac:dyDescent="0.4">
      <c r="B382" s="15" t="s">
        <v>366</v>
      </c>
    </row>
    <row r="384" spans="1:16" ht="15" customHeight="1" x14ac:dyDescent="0.4">
      <c r="B384" s="17" t="s">
        <v>236</v>
      </c>
      <c r="K384" s="18">
        <f>K22</f>
        <v>26936.702263524981</v>
      </c>
      <c r="L384" s="18">
        <f>L22</f>
        <v>30263.920314009254</v>
      </c>
      <c r="M384" s="18">
        <f>M22</f>
        <v>33214.417887258714</v>
      </c>
      <c r="N384" s="18">
        <f>N22</f>
        <v>36013.650296000465</v>
      </c>
      <c r="O384" s="18">
        <f>O22</f>
        <v>38718.198508805835</v>
      </c>
    </row>
    <row r="385" spans="2:15" ht="15" customHeight="1" x14ac:dyDescent="0.4">
      <c r="B385" s="17" t="s">
        <v>367</v>
      </c>
      <c r="K385" s="18">
        <f>-K384*Inputs!$L$49</f>
        <v>-6779.4292256839681</v>
      </c>
      <c r="L385" s="18">
        <f>-L384*Inputs!$L$49</f>
        <v>-7616.8234646298497</v>
      </c>
      <c r="M385" s="18">
        <f>-M384*Inputs!$L$49</f>
        <v>-8359.4046938652737</v>
      </c>
      <c r="N385" s="18">
        <f>-N384*Inputs!$L$49</f>
        <v>-9063.9155064973984</v>
      </c>
      <c r="O385" s="18">
        <f>-O384*Inputs!$L$49</f>
        <v>-9744.5962006962527</v>
      </c>
    </row>
    <row r="386" spans="2:15" ht="15" customHeight="1" x14ac:dyDescent="0.4">
      <c r="B386" s="17" t="s">
        <v>368</v>
      </c>
      <c r="K386" s="18">
        <f>K384+K385</f>
        <v>20157.273037841012</v>
      </c>
      <c r="L386" s="18">
        <f>L384+L385</f>
        <v>22647.096849379406</v>
      </c>
      <c r="M386" s="18">
        <f>M384+M385</f>
        <v>24855.013193393439</v>
      </c>
      <c r="N386" s="18">
        <f>N384+N385</f>
        <v>26949.734789503069</v>
      </c>
      <c r="O386" s="18">
        <f>O384+O385</f>
        <v>28973.602308109585</v>
      </c>
    </row>
    <row r="387" spans="2:15" ht="15" customHeight="1" x14ac:dyDescent="0.4">
      <c r="B387" s="17" t="s">
        <v>369</v>
      </c>
      <c r="K387" s="18">
        <f>K226</f>
        <v>1577.062512725</v>
      </c>
      <c r="L387" s="18">
        <f>L226</f>
        <v>1797.1501140657501</v>
      </c>
      <c r="M387" s="18">
        <f>M226</f>
        <v>2032.0750220572736</v>
      </c>
      <c r="N387" s="18">
        <f>N226</f>
        <v>2281.6642499713676</v>
      </c>
      <c r="O387" s="18">
        <f>O226</f>
        <v>2545.5866845176156</v>
      </c>
    </row>
    <row r="388" spans="2:15" ht="15" customHeight="1" x14ac:dyDescent="0.4">
      <c r="B388" s="17" t="s">
        <v>370</v>
      </c>
      <c r="K388" s="18">
        <f>-K203</f>
        <v>-3189.6753817499998</v>
      </c>
      <c r="L388" s="18">
        <f>-L203</f>
        <v>-3412.9526584724999</v>
      </c>
      <c r="M388" s="18">
        <f>-M203</f>
        <v>-3634.7945812732123</v>
      </c>
      <c r="N388" s="18">
        <f>-N203</f>
        <v>-3852.8822561496049</v>
      </c>
      <c r="O388" s="18">
        <f>-O203</f>
        <v>-4064.790780237834</v>
      </c>
    </row>
    <row r="389" spans="2:15" ht="15" customHeight="1" x14ac:dyDescent="0.4">
      <c r="B389" s="17" t="s">
        <v>371</v>
      </c>
      <c r="K389" s="18">
        <f>-((K182+K185-K189)-(J182+J185-J189))</f>
        <v>-209.81785493150892</v>
      </c>
      <c r="L389" s="18">
        <f>-((L182+L185-L189)-(K182+K185-K189))</f>
        <v>-515.32654984519831</v>
      </c>
      <c r="M389" s="18">
        <f>-((M182+M185-M189)-(L182+L185-L189))</f>
        <v>-512.01373631048773</v>
      </c>
      <c r="N389" s="18">
        <f>-((N182+N185-N189)-(M182+M185-M189))</f>
        <v>-503.34888846523245</v>
      </c>
      <c r="O389" s="18">
        <f>-((O182+O185-O189)-(N182+N185-N189))</f>
        <v>-489.08733662538361</v>
      </c>
    </row>
    <row r="390" spans="2:15" ht="15" customHeight="1" x14ac:dyDescent="0.4">
      <c r="B390" s="15" t="s">
        <v>372</v>
      </c>
      <c r="K390" s="40">
        <f>K386+K387+K388+K389</f>
        <v>18334.842313884503</v>
      </c>
      <c r="L390" s="40">
        <f>L386+L387+L388+L389</f>
        <v>20515.967755127458</v>
      </c>
      <c r="M390" s="40">
        <f>M386+M387+M388+M389</f>
        <v>22740.279897867011</v>
      </c>
      <c r="N390" s="40">
        <f>N386+N387+N388+N389</f>
        <v>24875.167894859598</v>
      </c>
      <c r="O390" s="40">
        <f>O386+O387+O388+O389</f>
        <v>26965.310875763982</v>
      </c>
    </row>
    <row r="393" spans="2:15" ht="15" customHeight="1" x14ac:dyDescent="0.4">
      <c r="B393" s="15" t="s">
        <v>373</v>
      </c>
    </row>
    <row r="395" spans="2:15" ht="15" customHeight="1" x14ac:dyDescent="0.4">
      <c r="B395" s="17" t="s">
        <v>374</v>
      </c>
      <c r="K395" s="57">
        <v>1</v>
      </c>
      <c r="L395" s="57">
        <v>2</v>
      </c>
      <c r="M395" s="57">
        <v>3</v>
      </c>
      <c r="N395" s="57">
        <v>4</v>
      </c>
      <c r="O395" s="57">
        <v>5</v>
      </c>
    </row>
    <row r="396" spans="2:15" ht="15" customHeight="1" x14ac:dyDescent="0.4">
      <c r="B396" s="17" t="s">
        <v>375</v>
      </c>
      <c r="K396" s="53">
        <f>1/(1+Inputs!$L$63)^K395</f>
        <v>0.90400100661273053</v>
      </c>
      <c r="L396" s="53">
        <f>1/(1+Inputs!$L$63)^L395</f>
        <v>0.81721781995682996</v>
      </c>
      <c r="M396" s="53">
        <f>1/(1+Inputs!$L$63)^M395</f>
        <v>0.73876573186283556</v>
      </c>
      <c r="N396" s="53">
        <f>1/(1+Inputs!$L$63)^N395</f>
        <v>0.66784496525499382</v>
      </c>
      <c r="O396" s="53">
        <f>1/(1+Inputs!$L$63)^O395</f>
        <v>0.60373252085175844</v>
      </c>
    </row>
    <row r="397" spans="2:15" ht="15" customHeight="1" x14ac:dyDescent="0.4">
      <c r="B397" s="17" t="s">
        <v>376</v>
      </c>
      <c r="K397" s="18">
        <f>K390*K396</f>
        <v>16574.715907837275</v>
      </c>
      <c r="L397" s="18">
        <f>L390*L396</f>
        <v>16766.014443149881</v>
      </c>
      <c r="M397" s="18">
        <f>M390*M396</f>
        <v>16799.739521513449</v>
      </c>
      <c r="N397" s="18">
        <f>N390*N396</f>
        <v>16612.755638454644</v>
      </c>
      <c r="O397" s="18">
        <f>O390*O396</f>
        <v>16279.835110576327</v>
      </c>
    </row>
    <row r="400" spans="2:15" ht="15" customHeight="1" x14ac:dyDescent="0.4">
      <c r="B400" s="15" t="s">
        <v>377</v>
      </c>
    </row>
    <row r="402" spans="2:6" ht="15" customHeight="1" x14ac:dyDescent="0.4">
      <c r="B402" s="17" t="s">
        <v>378</v>
      </c>
      <c r="F402" s="18">
        <f>SUM(K397:O397)</f>
        <v>83033.060621531578</v>
      </c>
    </row>
    <row r="403" spans="2:6" ht="15" customHeight="1" x14ac:dyDescent="0.4">
      <c r="B403" s="17" t="s">
        <v>379</v>
      </c>
      <c r="F403" s="18">
        <f>O390*(1+Inputs!$F$53)/(Inputs!$L$63-Inputs!$F$53)</f>
        <v>503858.93965444545</v>
      </c>
    </row>
    <row r="404" spans="2:6" ht="15" customHeight="1" x14ac:dyDescent="0.4">
      <c r="B404" s="17" t="s">
        <v>380</v>
      </c>
      <c r="F404" s="18">
        <f>F403*O396</f>
        <v>304196.02779127238</v>
      </c>
    </row>
    <row r="405" spans="2:6" ht="15" customHeight="1" x14ac:dyDescent="0.4">
      <c r="B405" s="15" t="s">
        <v>160</v>
      </c>
      <c r="F405" s="40">
        <f>F402+F404</f>
        <v>387229.08841280395</v>
      </c>
    </row>
    <row r="406" spans="2:6" ht="15" customHeight="1" x14ac:dyDescent="0.4">
      <c r="B406" s="17" t="s">
        <v>381</v>
      </c>
      <c r="F406" s="19">
        <f>F404/F405</f>
        <v>0.78557122100028154</v>
      </c>
    </row>
    <row r="409" spans="2:6" ht="15" customHeight="1" x14ac:dyDescent="0.4">
      <c r="B409" s="15" t="s">
        <v>382</v>
      </c>
    </row>
    <row r="411" spans="2:6" ht="15" customHeight="1" x14ac:dyDescent="0.4">
      <c r="B411" s="17" t="s">
        <v>160</v>
      </c>
      <c r="F411" s="18">
        <f>F405</f>
        <v>387229.08841280395</v>
      </c>
    </row>
    <row r="412" spans="2:6" ht="15" customHeight="1" x14ac:dyDescent="0.4">
      <c r="B412" s="17" t="s">
        <v>383</v>
      </c>
      <c r="F412" s="18">
        <f>J82</f>
        <v>643.46</v>
      </c>
    </row>
    <row r="413" spans="2:6" ht="15" customHeight="1" x14ac:dyDescent="0.4">
      <c r="B413" s="17" t="s">
        <v>384</v>
      </c>
      <c r="F413" s="18">
        <f>J88</f>
        <v>38128.43</v>
      </c>
    </row>
    <row r="414" spans="2:6" ht="15" customHeight="1" x14ac:dyDescent="0.4">
      <c r="B414" s="17" t="s">
        <v>385</v>
      </c>
      <c r="F414" s="18">
        <f>-J100</f>
        <v>-2186.2199999999998</v>
      </c>
    </row>
    <row r="415" spans="2:6" ht="15" customHeight="1" x14ac:dyDescent="0.4">
      <c r="B415" s="15" t="s">
        <v>164</v>
      </c>
      <c r="F415" s="40">
        <f>SUM(F411:F414)</f>
        <v>423814.75841280399</v>
      </c>
    </row>
    <row r="416" spans="2:6" ht="15" customHeight="1" x14ac:dyDescent="0.4">
      <c r="B416" s="17" t="s">
        <v>386</v>
      </c>
      <c r="F416" s="18">
        <f>Inputs!$F$55</f>
        <v>1252.9467999999999</v>
      </c>
    </row>
    <row r="417" spans="2:12" ht="15" customHeight="1" x14ac:dyDescent="0.4">
      <c r="B417" s="15" t="s">
        <v>152</v>
      </c>
      <c r="F417" s="58">
        <f>F415/F416</f>
        <v>338.25439229566973</v>
      </c>
    </row>
    <row r="420" spans="2:12" ht="15" customHeight="1" x14ac:dyDescent="0.4">
      <c r="B420" s="15" t="s">
        <v>387</v>
      </c>
    </row>
    <row r="422" spans="2:12" ht="15" customHeight="1" x14ac:dyDescent="0.4">
      <c r="B422" s="17" t="s">
        <v>388</v>
      </c>
      <c r="F422" s="59">
        <f>Inputs!$F$54</f>
        <v>285</v>
      </c>
    </row>
    <row r="423" spans="2:12" ht="15" customHeight="1" x14ac:dyDescent="0.4">
      <c r="B423" s="17" t="s">
        <v>154</v>
      </c>
      <c r="F423" s="28">
        <f>F417/F422-1</f>
        <v>0.18685751682691132</v>
      </c>
    </row>
    <row r="424" spans="2:12" ht="15" customHeight="1" x14ac:dyDescent="0.4">
      <c r="B424" s="17" t="s">
        <v>389</v>
      </c>
      <c r="F424" s="60">
        <f>F417/(J35/Inputs!$F$55)</f>
        <v>20.164227508739057</v>
      </c>
    </row>
    <row r="427" spans="2:12" ht="15" customHeight="1" x14ac:dyDescent="0.4">
      <c r="B427" s="15" t="s">
        <v>390</v>
      </c>
    </row>
    <row r="428" spans="2:12" ht="15" customHeight="1" x14ac:dyDescent="0.35">
      <c r="B428" s="13" t="s">
        <v>391</v>
      </c>
    </row>
    <row r="430" spans="2:12" ht="15" customHeight="1" x14ac:dyDescent="0.4">
      <c r="B430" s="17" t="s">
        <v>392</v>
      </c>
      <c r="D430" s="28">
        <f>Inputs!$F$53+(-0.01)</f>
        <v>0.04</v>
      </c>
      <c r="F430" s="28">
        <f>Inputs!$F$53+(-0.005)</f>
        <v>4.5000000000000005E-2</v>
      </c>
      <c r="H430" s="28">
        <f>Inputs!$F$53+(0)</f>
        <v>0.05</v>
      </c>
      <c r="J430" s="28">
        <f>Inputs!$F$53+(0.005)</f>
        <v>5.5E-2</v>
      </c>
      <c r="L430" s="28">
        <f>Inputs!$F$53+(0.01)</f>
        <v>6.0000000000000005E-2</v>
      </c>
    </row>
    <row r="431" spans="2:12" ht="15" customHeight="1" x14ac:dyDescent="0.4">
      <c r="B431" s="28">
        <f>Inputs!$L$63+(-0.01)</f>
        <v>9.6193458508387467E-2</v>
      </c>
      <c r="D431" s="59">
        <f>(NPV($B431,$K$390:$O$390)+($O$390*(1+D$430))/($B431-D$430)/(1+$B431)^5+$F$412+$F$413+$F$414)/$F$416</f>
        <v>348.94290594656815</v>
      </c>
      <c r="F431" s="59">
        <f>(NPV($B431,$K$390:$O$390)+($O$390*(1+F$430))/($B431-F$430)/(1+$B431)^5+$F$412+$F$413+$F$414)/$F$416</f>
        <v>374.84851143698739</v>
      </c>
      <c r="H431" s="59">
        <f>(NPV($B431,$K$390:$O$390)+($O$390*(1+H$430))/($B431-H$430)/(1+$B431)^5+$F$412+$F$413+$F$414)/$F$416</f>
        <v>406.36218489350517</v>
      </c>
      <c r="J431" s="59">
        <f>(NPV($B431,$K$390:$O$390)+($O$390*(1+J$430))/($B431-J$430)/(1+$B431)^5+$F$412+$F$413+$F$414)/$F$416</f>
        <v>445.52602286585284</v>
      </c>
      <c r="L431" s="59">
        <f>(NPV($B431,$K$390:$O$390)+($O$390*(1+L$430))/($B431-L$430)/(1+$B431)^5+$F$412+$F$413+$F$414)/$F$416</f>
        <v>495.51055595449412</v>
      </c>
    </row>
    <row r="432" spans="2:12" ht="15" customHeight="1" x14ac:dyDescent="0.4">
      <c r="B432" s="28">
        <f>Inputs!$L$63+(-0.005)</f>
        <v>0.10119345850838746</v>
      </c>
      <c r="D432" s="59">
        <f>(NPV($B432,$K$390:$O$390)+($O$390*(1+D$430))/($B432-D$430)/(1+$B432)^5+$F$412+$F$413+$F$414)/$F$416</f>
        <v>322.25810413150708</v>
      </c>
      <c r="F432" s="59">
        <f>(NPV($B432,$K$390:$O$390)+($O$390*(1+F$430))/($B432-F$430)/(1+$B432)^5+$F$412+$F$413+$F$414)/$F$416</f>
        <v>343.53937462154232</v>
      </c>
      <c r="H432" s="59">
        <f>(NPV($B432,$K$390:$O$390)+($O$390*(1+H$430))/($B432-H$430)/(1+$B432)^5+$F$412+$F$413+$F$414)/$F$416</f>
        <v>368.97767437080381</v>
      </c>
      <c r="J432" s="59">
        <f>(NPV($B432,$K$390:$O$390)+($O$390*(1+J$430))/($B432-J$430)/(1+$B432)^5+$F$412+$F$413+$F$414)/$F$416</f>
        <v>399.92287933363417</v>
      </c>
      <c r="L432" s="59">
        <f>(NPV($B432,$K$390:$O$390)+($O$390*(1+L$430))/($B432-L$430)/(1+$B432)^5+$F$412+$F$413+$F$414)/$F$416</f>
        <v>438.38024911179082</v>
      </c>
    </row>
    <row r="433" spans="2:12" ht="15" customHeight="1" x14ac:dyDescent="0.4">
      <c r="B433" s="28">
        <f>Inputs!$L$63+(0)</f>
        <v>0.10619345850838746</v>
      </c>
      <c r="D433" s="59">
        <f>(NPV($B433,$K$390:$O$390)+($O$390*(1+D$430))/($B433-D$430)/(1+$B433)^5+$F$412+$F$413+$F$414)/$F$416</f>
        <v>299.61345775603201</v>
      </c>
      <c r="F433" s="59">
        <f>(NPV($B433,$K$390:$O$390)+($O$390*(1+F$430))/($B433-F$430)/(1+$B433)^5+$F$412+$F$413+$F$414)/$F$416</f>
        <v>317.35528674156666</v>
      </c>
      <c r="H433" s="59">
        <f>(NPV($B433,$K$390:$O$390)+($O$390*(1+H$430))/($B433-H$430)/(1+$B433)^5+$F$412+$F$413+$F$414)/$F$416</f>
        <v>338.25439229566973</v>
      </c>
      <c r="J433" s="59">
        <f>(NPV($B433,$K$390:$O$390)+($O$390*(1+J$430))/($B433-J$430)/(1+$B433)^5+$F$412+$F$413+$F$414)/$F$416</f>
        <v>363.23587598225987</v>
      </c>
      <c r="L433" s="59">
        <f>(NPV($B433,$K$390:$O$390)+($O$390*(1+L$430))/($B433-L$430)/(1+$B433)^5+$F$412+$F$413+$F$414)/$F$416</f>
        <v>393.62537294459435</v>
      </c>
    </row>
    <row r="434" spans="2:12" ht="15" customHeight="1" x14ac:dyDescent="0.4">
      <c r="B434" s="28">
        <f>Inputs!$L$63+(0.005)</f>
        <v>0.11119345850838747</v>
      </c>
      <c r="D434" s="59">
        <f>(NPV($B434,$K$390:$O$390)+($O$390*(1+D$430))/($B434-D$430)/(1+$B434)^5+$F$412+$F$413+$F$414)/$F$416</f>
        <v>280.15754591594526</v>
      </c>
      <c r="F434" s="59">
        <f>(NPV($B434,$K$390:$O$390)+($O$390*(1+F$430))/($B434-F$430)/(1+$B434)^5+$F$412+$F$413+$F$414)/$F$416</f>
        <v>295.13468753162681</v>
      </c>
      <c r="H434" s="59">
        <f>(NPV($B434,$K$390:$O$390)+($O$390*(1+H$430))/($B434-H$430)/(1+$B434)^5+$F$412+$F$413+$F$414)/$F$416</f>
        <v>312.55933611631372</v>
      </c>
      <c r="J434" s="59">
        <f>(NPV($B434,$K$390:$O$390)+($O$390*(1+J$430))/($B434-J$430)/(1+$B434)^5+$F$412+$F$413+$F$414)/$F$416</f>
        <v>333.084816905889</v>
      </c>
      <c r="L434" s="59">
        <f>(NPV($B434,$K$390:$O$390)+($O$390*(1+L$430))/($B434-L$430)/(1+$B434)^5+$F$412+$F$413+$F$414)/$F$416</f>
        <v>357.61969291657692</v>
      </c>
    </row>
    <row r="435" spans="2:12" ht="15" customHeight="1" x14ac:dyDescent="0.4">
      <c r="B435" s="28">
        <f>Inputs!$L$63+(0.01)</f>
        <v>0.11619345850838746</v>
      </c>
      <c r="D435" s="59">
        <f>(NPV($B435,$K$390:$O$390)+($O$390*(1+D$430))/($B435-D$430)/(1+$B435)^5+$F$412+$F$413+$F$414)/$F$416</f>
        <v>263.26244179751757</v>
      </c>
      <c r="F435" s="59">
        <f>(NPV($B435,$K$390:$O$390)+($O$390*(1+F$430))/($B435-F$430)/(1+$B435)^5+$F$412+$F$413+$F$414)/$F$416</f>
        <v>276.04233234685802</v>
      </c>
      <c r="H435" s="59">
        <f>(NPV($B435,$K$390:$O$390)+($O$390*(1+H$430))/($B435-H$430)/(1+$B435)^5+$F$412+$F$413+$F$414)/$F$416</f>
        <v>290.75291073716113</v>
      </c>
      <c r="J435" s="59">
        <f>(NPV($B435,$K$390:$O$390)+($O$390*(1+J$430))/($B435-J$430)/(1+$B435)^5+$F$412+$F$413+$F$414)/$F$416</f>
        <v>307.86743535780948</v>
      </c>
      <c r="L435" s="59">
        <f>(NPV($B435,$K$390:$O$390)+($O$390*(1+L$430))/($B435-L$430)/(1+$B435)^5+$F$412+$F$413+$F$414)/$F$416</f>
        <v>328.0276035595686</v>
      </c>
    </row>
  </sheetData>
  <mergeCells count="12">
    <mergeCell ref="B3:P3"/>
    <mergeCell ref="B39:P39"/>
    <mergeCell ref="B75:P75"/>
    <mergeCell ref="B118:P118"/>
    <mergeCell ref="B142:P142"/>
    <mergeCell ref="B320:P320"/>
    <mergeCell ref="B376:P376"/>
    <mergeCell ref="B173:P173"/>
    <mergeCell ref="B194:P194"/>
    <mergeCell ref="B234:P234"/>
    <mergeCell ref="B261:P261"/>
    <mergeCell ref="B296:P296"/>
  </mergeCells>
  <pageMargins left="0.75" right="0.75" top="1" bottom="1" header="0.511811023622047" footer="0.511811023622047"/>
  <pageSetup paperSize="9"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Beneish M-Score</vt:lpstr>
      <vt:lpstr>Altman Z-Score</vt:lpstr>
      <vt:lpstr>CFS Analysis</vt:lpstr>
      <vt:lpstr>Ratio Analysis</vt:lpstr>
      <vt:lpstr>Financial Data</vt:lpstr>
      <vt:lpstr>Comparative BS</vt:lpstr>
      <vt:lpstr>Comparative P&amp;L</vt:lpstr>
      <vt:lpstr>Common-Size BS</vt:lpstr>
      <vt:lpstr>Common-Size P&amp;L</vt:lpstr>
      <vt:lpstr>Trend Analysis</vt:lpstr>
      <vt:lpstr>Interpretation</vt:lpstr>
      <vt:lpstr>Cover (2)</vt:lpstr>
      <vt:lpstr>Peer Data</vt:lpstr>
      <vt:lpstr>CCA Multiples</vt:lpstr>
      <vt:lpstr>Implied Valuation</vt:lpstr>
      <vt:lpstr>Sources &amp; Notes</vt:lpstr>
      <vt:lpstr>Cover</vt:lpstr>
      <vt:lpstr>Assumptions</vt:lpstr>
      <vt:lpstr>Outputs</vt:lpstr>
      <vt:lpstr>Inputs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Venu Parathe</cp:lastModifiedBy>
  <cp:revision>9</cp:revision>
  <dcterms:created xsi:type="dcterms:W3CDTF">2026-08-08T18:48:29Z</dcterms:created>
  <dcterms:modified xsi:type="dcterms:W3CDTF">2026-08-15T17:30:18Z</dcterms:modified>
  <dc:language>en-US</dc:language>
</cp:coreProperties>
</file>